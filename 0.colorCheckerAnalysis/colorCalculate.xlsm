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0.colorCheckerAnalysis\"/>
    </mc:Choice>
  </mc:AlternateContent>
  <xr:revisionPtr revIDLastSave="0" documentId="13_ncr:1_{D0C078FF-1836-452F-BC72-5912D9FB25B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(default)" sheetId="1" r:id="rId1"/>
  </sheets>
  <definedNames>
    <definedName name="_xlnm._FilterDatabase" localSheetId="0" hidden="1">'(default)'!$K$12:$K$35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9" i="1" l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38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39" i="1" l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38" i="1"/>
  <c r="K115" i="1" l="1"/>
  <c r="M89" i="1"/>
  <c r="L89" i="1"/>
  <c r="Q113" i="1"/>
  <c r="P113" i="1"/>
  <c r="N113" i="1"/>
  <c r="Q112" i="1"/>
  <c r="P112" i="1"/>
  <c r="N112" i="1"/>
  <c r="Q111" i="1"/>
  <c r="P111" i="1"/>
  <c r="N111" i="1"/>
  <c r="Q110" i="1"/>
  <c r="P110" i="1"/>
  <c r="N110" i="1"/>
  <c r="Q109" i="1"/>
  <c r="P109" i="1"/>
  <c r="N109" i="1"/>
  <c r="Q108" i="1"/>
  <c r="P108" i="1"/>
  <c r="N108" i="1"/>
  <c r="Q107" i="1"/>
  <c r="P107" i="1"/>
  <c r="N107" i="1"/>
  <c r="Q106" i="1"/>
  <c r="P106" i="1"/>
  <c r="N106" i="1"/>
  <c r="Q105" i="1"/>
  <c r="P105" i="1"/>
  <c r="N105" i="1"/>
  <c r="Q104" i="1"/>
  <c r="P104" i="1"/>
  <c r="N104" i="1"/>
  <c r="Q103" i="1"/>
  <c r="P103" i="1"/>
  <c r="N103" i="1"/>
  <c r="Q102" i="1"/>
  <c r="P102" i="1"/>
  <c r="N102" i="1"/>
  <c r="Q101" i="1"/>
  <c r="P101" i="1"/>
  <c r="N101" i="1"/>
  <c r="Q100" i="1"/>
  <c r="P100" i="1"/>
  <c r="N100" i="1"/>
  <c r="Q99" i="1"/>
  <c r="P99" i="1"/>
  <c r="N99" i="1"/>
  <c r="Q98" i="1"/>
  <c r="P98" i="1"/>
  <c r="N98" i="1"/>
  <c r="Q97" i="1"/>
  <c r="P97" i="1"/>
  <c r="N97" i="1"/>
  <c r="Q96" i="1"/>
  <c r="P96" i="1"/>
  <c r="N96" i="1"/>
  <c r="Q95" i="1"/>
  <c r="P95" i="1"/>
  <c r="N95" i="1"/>
  <c r="Q94" i="1"/>
  <c r="P94" i="1"/>
  <c r="N94" i="1"/>
  <c r="Q93" i="1"/>
  <c r="P93" i="1"/>
  <c r="N93" i="1"/>
  <c r="Q92" i="1"/>
  <c r="P92" i="1"/>
  <c r="N92" i="1"/>
  <c r="Q91" i="1"/>
  <c r="P91" i="1"/>
  <c r="N91" i="1"/>
  <c r="Q90" i="1"/>
  <c r="P90" i="1"/>
  <c r="N90" i="1"/>
  <c r="Q89" i="1"/>
  <c r="P89" i="1"/>
  <c r="N89" i="1"/>
  <c r="K89" i="1"/>
  <c r="L64" i="1"/>
  <c r="K85" i="1"/>
  <c r="K86" i="1"/>
  <c r="K87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64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38" i="1"/>
  <c r="H38" i="1"/>
  <c r="I38" i="1"/>
  <c r="B39" i="1"/>
  <c r="C39" i="1"/>
  <c r="D39" i="1"/>
  <c r="B40" i="1"/>
  <c r="C40" i="1"/>
  <c r="D40" i="1"/>
  <c r="B41" i="1"/>
  <c r="C41" i="1"/>
  <c r="D41" i="1"/>
  <c r="B42" i="1"/>
  <c r="C42" i="1"/>
  <c r="D42" i="1"/>
  <c r="B43" i="1"/>
  <c r="C43" i="1"/>
  <c r="D43" i="1"/>
  <c r="B44" i="1"/>
  <c r="C44" i="1"/>
  <c r="D44" i="1"/>
  <c r="B45" i="1"/>
  <c r="C45" i="1"/>
  <c r="D45" i="1"/>
  <c r="B46" i="1"/>
  <c r="C46" i="1"/>
  <c r="D46" i="1"/>
  <c r="B47" i="1"/>
  <c r="C47" i="1"/>
  <c r="D47" i="1"/>
  <c r="B48" i="1"/>
  <c r="C48" i="1"/>
  <c r="D48" i="1"/>
  <c r="B49" i="1"/>
  <c r="C49" i="1"/>
  <c r="D49" i="1"/>
  <c r="B50" i="1"/>
  <c r="C50" i="1"/>
  <c r="D50" i="1"/>
  <c r="B51" i="1"/>
  <c r="C51" i="1"/>
  <c r="D51" i="1"/>
  <c r="B52" i="1"/>
  <c r="C52" i="1"/>
  <c r="D52" i="1"/>
  <c r="B53" i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B58" i="1"/>
  <c r="C58" i="1"/>
  <c r="D58" i="1"/>
  <c r="B59" i="1"/>
  <c r="C59" i="1"/>
  <c r="D59" i="1"/>
  <c r="B60" i="1"/>
  <c r="C60" i="1"/>
  <c r="D60" i="1"/>
  <c r="B61" i="1"/>
  <c r="C61" i="1"/>
  <c r="D61" i="1"/>
  <c r="C38" i="1"/>
  <c r="D38" i="1"/>
  <c r="B38" i="1"/>
  <c r="G64" i="1" l="1"/>
  <c r="G90" i="1" s="1"/>
  <c r="H82" i="1"/>
  <c r="H108" i="1" s="1"/>
  <c r="H79" i="1"/>
  <c r="H105" i="1" s="1"/>
  <c r="I76" i="1"/>
  <c r="I102" i="1" s="1"/>
  <c r="H75" i="1"/>
  <c r="H101" i="1" s="1"/>
  <c r="I72" i="1"/>
  <c r="I98" i="1" s="1"/>
  <c r="I68" i="1"/>
  <c r="I94" i="1" s="1"/>
  <c r="H66" i="1"/>
  <c r="H92" i="1" s="1"/>
  <c r="G118" i="1" s="1"/>
  <c r="I84" i="1"/>
  <c r="I110" i="1" s="1"/>
  <c r="I80" i="1"/>
  <c r="I106" i="1" s="1"/>
  <c r="H78" i="1"/>
  <c r="H104" i="1" s="1"/>
  <c r="H74" i="1"/>
  <c r="H100" i="1" s="1"/>
  <c r="H71" i="1"/>
  <c r="H97" i="1" s="1"/>
  <c r="H70" i="1"/>
  <c r="H96" i="1" s="1"/>
  <c r="G122" i="1" s="1"/>
  <c r="H67" i="1"/>
  <c r="H93" i="1" s="1"/>
  <c r="H87" i="1"/>
  <c r="H113" i="1" s="1"/>
  <c r="H83" i="1"/>
  <c r="H109" i="1" s="1"/>
  <c r="H86" i="1"/>
  <c r="H112" i="1" s="1"/>
  <c r="D87" i="1"/>
  <c r="D113" i="1" s="1"/>
  <c r="D83" i="1"/>
  <c r="D109" i="1" s="1"/>
  <c r="D80" i="1"/>
  <c r="D106" i="1" s="1"/>
  <c r="D79" i="1"/>
  <c r="D105" i="1" s="1"/>
  <c r="B78" i="1"/>
  <c r="B104" i="1" s="1"/>
  <c r="B76" i="1"/>
  <c r="B102" i="1" s="1"/>
  <c r="B72" i="1"/>
  <c r="B98" i="1" s="1"/>
  <c r="B68" i="1"/>
  <c r="B94" i="1" s="1"/>
  <c r="D84" i="1"/>
  <c r="D110" i="1" s="1"/>
  <c r="D64" i="1"/>
  <c r="D90" i="1" s="1"/>
  <c r="B84" i="1"/>
  <c r="B110" i="1" s="1"/>
  <c r="B80" i="1"/>
  <c r="B106" i="1" s="1"/>
  <c r="D86" i="1"/>
  <c r="D112" i="1" s="1"/>
  <c r="B85" i="1"/>
  <c r="B111" i="1" s="1"/>
  <c r="D82" i="1"/>
  <c r="D108" i="1" s="1"/>
  <c r="B81" i="1"/>
  <c r="B107" i="1" s="1"/>
  <c r="D78" i="1"/>
  <c r="D104" i="1" s="1"/>
  <c r="B77" i="1"/>
  <c r="B103" i="1" s="1"/>
  <c r="D74" i="1"/>
  <c r="D100" i="1" s="1"/>
  <c r="B73" i="1"/>
  <c r="B99" i="1" s="1"/>
  <c r="D70" i="1"/>
  <c r="D96" i="1" s="1"/>
  <c r="B69" i="1"/>
  <c r="B95" i="1" s="1"/>
  <c r="D66" i="1"/>
  <c r="D92" i="1" s="1"/>
  <c r="B65" i="1"/>
  <c r="B91" i="1" s="1"/>
  <c r="B74" i="1"/>
  <c r="B100" i="1" s="1"/>
  <c r="B64" i="1"/>
  <c r="B90" i="1" s="1"/>
  <c r="C86" i="1"/>
  <c r="C112" i="1" s="1"/>
  <c r="B138" i="1" s="1"/>
  <c r="C82" i="1"/>
  <c r="C108" i="1" s="1"/>
  <c r="C78" i="1"/>
  <c r="C104" i="1" s="1"/>
  <c r="B130" i="1" s="1"/>
  <c r="C74" i="1"/>
  <c r="C100" i="1" s="1"/>
  <c r="B126" i="1" s="1"/>
  <c r="C70" i="1"/>
  <c r="C96" i="1" s="1"/>
  <c r="B122" i="1" s="1"/>
  <c r="C66" i="1"/>
  <c r="C92" i="1" s="1"/>
  <c r="B118" i="1" s="1"/>
  <c r="B86" i="1"/>
  <c r="B112" i="1" s="1"/>
  <c r="B70" i="1"/>
  <c r="B96" i="1" s="1"/>
  <c r="D76" i="1"/>
  <c r="D102" i="1" s="1"/>
  <c r="D75" i="1"/>
  <c r="D101" i="1" s="1"/>
  <c r="D72" i="1"/>
  <c r="D98" i="1" s="1"/>
  <c r="D71" i="1"/>
  <c r="D97" i="1" s="1"/>
  <c r="D68" i="1"/>
  <c r="D94" i="1" s="1"/>
  <c r="D67" i="1"/>
  <c r="D93" i="1" s="1"/>
  <c r="B82" i="1"/>
  <c r="B108" i="1" s="1"/>
  <c r="B66" i="1"/>
  <c r="B92" i="1" s="1"/>
  <c r="C67" i="1"/>
  <c r="C93" i="1" s="1"/>
  <c r="B119" i="1" s="1"/>
  <c r="C79" i="1"/>
  <c r="C105" i="1" s="1"/>
  <c r="B131" i="1" s="1"/>
  <c r="C71" i="1"/>
  <c r="C97" i="1" s="1"/>
  <c r="B123" i="1" s="1"/>
  <c r="C64" i="1"/>
  <c r="C90" i="1" s="1"/>
  <c r="B116" i="1" s="1"/>
  <c r="B87" i="1"/>
  <c r="B113" i="1" s="1"/>
  <c r="D85" i="1"/>
  <c r="D111" i="1" s="1"/>
  <c r="C84" i="1"/>
  <c r="C110" i="1" s="1"/>
  <c r="B136" i="1" s="1"/>
  <c r="B83" i="1"/>
  <c r="B109" i="1" s="1"/>
  <c r="D81" i="1"/>
  <c r="D107" i="1" s="1"/>
  <c r="C80" i="1"/>
  <c r="C106" i="1" s="1"/>
  <c r="B132" i="1" s="1"/>
  <c r="B79" i="1"/>
  <c r="B105" i="1" s="1"/>
  <c r="D77" i="1"/>
  <c r="D103" i="1" s="1"/>
  <c r="C76" i="1"/>
  <c r="C102" i="1" s="1"/>
  <c r="B128" i="1" s="1"/>
  <c r="B75" i="1"/>
  <c r="B101" i="1" s="1"/>
  <c r="D73" i="1"/>
  <c r="D99" i="1" s="1"/>
  <c r="C72" i="1"/>
  <c r="C98" i="1" s="1"/>
  <c r="B124" i="1" s="1"/>
  <c r="B71" i="1"/>
  <c r="B97" i="1" s="1"/>
  <c r="D69" i="1"/>
  <c r="D95" i="1" s="1"/>
  <c r="C68" i="1"/>
  <c r="C94" i="1" s="1"/>
  <c r="B120" i="1" s="1"/>
  <c r="B67" i="1"/>
  <c r="B93" i="1" s="1"/>
  <c r="D65" i="1"/>
  <c r="D91" i="1" s="1"/>
  <c r="C65" i="1"/>
  <c r="C91" i="1" s="1"/>
  <c r="B117" i="1" s="1"/>
  <c r="C87" i="1"/>
  <c r="C113" i="1" s="1"/>
  <c r="B139" i="1" s="1"/>
  <c r="C83" i="1"/>
  <c r="C109" i="1" s="1"/>
  <c r="B135" i="1" s="1"/>
  <c r="C75" i="1"/>
  <c r="C101" i="1" s="1"/>
  <c r="B127" i="1" s="1"/>
  <c r="C85" i="1"/>
  <c r="C111" i="1" s="1"/>
  <c r="C81" i="1"/>
  <c r="C107" i="1" s="1"/>
  <c r="B133" i="1" s="1"/>
  <c r="C77" i="1"/>
  <c r="C103" i="1" s="1"/>
  <c r="C73" i="1"/>
  <c r="C99" i="1" s="1"/>
  <c r="B125" i="1" s="1"/>
  <c r="C69" i="1"/>
  <c r="C95" i="1" s="1"/>
  <c r="I87" i="1"/>
  <c r="I113" i="1" s="1"/>
  <c r="I83" i="1"/>
  <c r="I109" i="1" s="1"/>
  <c r="I79" i="1"/>
  <c r="I105" i="1" s="1"/>
  <c r="I67" i="1"/>
  <c r="I93" i="1" s="1"/>
  <c r="I64" i="1"/>
  <c r="I90" i="1" s="1"/>
  <c r="G84" i="1"/>
  <c r="G110" i="1" s="1"/>
  <c r="G80" i="1"/>
  <c r="G106" i="1" s="1"/>
  <c r="G76" i="1"/>
  <c r="G102" i="1" s="1"/>
  <c r="H73" i="1"/>
  <c r="H99" i="1" s="1"/>
  <c r="G125" i="1" s="1"/>
  <c r="G72" i="1"/>
  <c r="G98" i="1" s="1"/>
  <c r="H69" i="1"/>
  <c r="H95" i="1" s="1"/>
  <c r="G121" i="1" s="1"/>
  <c r="G68" i="1"/>
  <c r="G94" i="1" s="1"/>
  <c r="H65" i="1"/>
  <c r="H91" i="1" s="1"/>
  <c r="G117" i="1" s="1"/>
  <c r="L13" i="1" s="1"/>
  <c r="I75" i="1"/>
  <c r="I101" i="1" s="1"/>
  <c r="I71" i="1"/>
  <c r="I97" i="1" s="1"/>
  <c r="G85" i="1"/>
  <c r="G111" i="1" s="1"/>
  <c r="G81" i="1"/>
  <c r="G107" i="1" s="1"/>
  <c r="G77" i="1"/>
  <c r="G103" i="1" s="1"/>
  <c r="G73" i="1"/>
  <c r="G99" i="1" s="1"/>
  <c r="G69" i="1"/>
  <c r="G95" i="1" s="1"/>
  <c r="G65" i="1"/>
  <c r="G91" i="1" s="1"/>
  <c r="G78" i="1"/>
  <c r="G104" i="1" s="1"/>
  <c r="H64" i="1"/>
  <c r="G87" i="1"/>
  <c r="G113" i="1" s="1"/>
  <c r="I85" i="1"/>
  <c r="I111" i="1" s="1"/>
  <c r="H84" i="1"/>
  <c r="H110" i="1" s="1"/>
  <c r="G136" i="1" s="1"/>
  <c r="L32" i="1" s="1"/>
  <c r="G83" i="1"/>
  <c r="G109" i="1" s="1"/>
  <c r="I81" i="1"/>
  <c r="I107" i="1" s="1"/>
  <c r="H80" i="1"/>
  <c r="H106" i="1" s="1"/>
  <c r="G132" i="1" s="1"/>
  <c r="G79" i="1"/>
  <c r="G105" i="1" s="1"/>
  <c r="I77" i="1"/>
  <c r="I103" i="1" s="1"/>
  <c r="H76" i="1"/>
  <c r="H102" i="1" s="1"/>
  <c r="G128" i="1" s="1"/>
  <c r="G75" i="1"/>
  <c r="G101" i="1" s="1"/>
  <c r="I73" i="1"/>
  <c r="I99" i="1" s="1"/>
  <c r="H72" i="1"/>
  <c r="H98" i="1" s="1"/>
  <c r="G124" i="1" s="1"/>
  <c r="G71" i="1"/>
  <c r="G97" i="1" s="1"/>
  <c r="I69" i="1"/>
  <c r="I95" i="1" s="1"/>
  <c r="H68" i="1"/>
  <c r="H94" i="1" s="1"/>
  <c r="G120" i="1" s="1"/>
  <c r="G67" i="1"/>
  <c r="G93" i="1" s="1"/>
  <c r="I65" i="1"/>
  <c r="I86" i="1"/>
  <c r="I112" i="1" s="1"/>
  <c r="H85" i="1"/>
  <c r="H111" i="1" s="1"/>
  <c r="G137" i="1" s="1"/>
  <c r="Q7" i="1" s="1"/>
  <c r="I82" i="1"/>
  <c r="I108" i="1" s="1"/>
  <c r="H81" i="1"/>
  <c r="H107" i="1" s="1"/>
  <c r="G133" i="1" s="1"/>
  <c r="I78" i="1"/>
  <c r="I104" i="1" s="1"/>
  <c r="H77" i="1"/>
  <c r="H103" i="1" s="1"/>
  <c r="G129" i="1" s="1"/>
  <c r="I74" i="1"/>
  <c r="I100" i="1" s="1"/>
  <c r="I70" i="1"/>
  <c r="I96" i="1" s="1"/>
  <c r="I66" i="1"/>
  <c r="I92" i="1" s="1"/>
  <c r="G86" i="1"/>
  <c r="G112" i="1" s="1"/>
  <c r="G82" i="1"/>
  <c r="G108" i="1" s="1"/>
  <c r="G74" i="1"/>
  <c r="G100" i="1" s="1"/>
  <c r="G70" i="1"/>
  <c r="G96" i="1" s="1"/>
  <c r="G66" i="1"/>
  <c r="G92" i="1" s="1"/>
  <c r="H90" i="1"/>
  <c r="I91" i="1"/>
  <c r="L29" i="1" l="1"/>
  <c r="K133" i="1" s="1"/>
  <c r="L28" i="1"/>
  <c r="K132" i="1" s="1"/>
  <c r="L20" i="1"/>
  <c r="K124" i="1" s="1"/>
  <c r="L21" i="1"/>
  <c r="L24" i="1"/>
  <c r="L16" i="1"/>
  <c r="K120" i="1" s="1"/>
  <c r="L14" i="1"/>
  <c r="K118" i="1" s="1"/>
  <c r="L18" i="1"/>
  <c r="K122" i="1" s="1"/>
  <c r="K117" i="1"/>
  <c r="K136" i="1"/>
  <c r="K125" i="1"/>
  <c r="K128" i="1"/>
  <c r="B200" i="1"/>
  <c r="B196" i="1"/>
  <c r="D134" i="1"/>
  <c r="B195" i="1"/>
  <c r="B211" i="1"/>
  <c r="B203" i="1"/>
  <c r="G188" i="1"/>
  <c r="G184" i="1"/>
  <c r="G180" i="1"/>
  <c r="G176" i="1"/>
  <c r="G172" i="1"/>
  <c r="B214" i="1"/>
  <c r="B210" i="1"/>
  <c r="B206" i="1"/>
  <c r="B202" i="1"/>
  <c r="B198" i="1"/>
  <c r="G185" i="1"/>
  <c r="G177" i="1"/>
  <c r="G169" i="1"/>
  <c r="G174" i="1"/>
  <c r="G170" i="1"/>
  <c r="I116" i="1"/>
  <c r="I117" i="1"/>
  <c r="C119" i="1"/>
  <c r="C139" i="1"/>
  <c r="C135" i="1"/>
  <c r="C127" i="1"/>
  <c r="C138" i="1"/>
  <c r="C130" i="1"/>
  <c r="C126" i="1"/>
  <c r="C122" i="1"/>
  <c r="C118" i="1"/>
  <c r="C134" i="1"/>
  <c r="I138" i="1"/>
  <c r="H137" i="1"/>
  <c r="I134" i="1"/>
  <c r="H133" i="1"/>
  <c r="I130" i="1"/>
  <c r="H129" i="1"/>
  <c r="I126" i="1"/>
  <c r="H125" i="1"/>
  <c r="C124" i="1"/>
  <c r="B134" i="1"/>
  <c r="P9" i="1" s="1"/>
  <c r="D122" i="1"/>
  <c r="H116" i="1"/>
  <c r="I136" i="1"/>
  <c r="I132" i="1"/>
  <c r="I128" i="1"/>
  <c r="I124" i="1"/>
  <c r="I120" i="1"/>
  <c r="D137" i="1"/>
  <c r="D129" i="1"/>
  <c r="D121" i="1"/>
  <c r="D118" i="1"/>
  <c r="C117" i="1"/>
  <c r="C132" i="1"/>
  <c r="D116" i="1"/>
  <c r="D136" i="1"/>
  <c r="D132" i="1"/>
  <c r="D128" i="1"/>
  <c r="D124" i="1"/>
  <c r="D120" i="1"/>
  <c r="I139" i="1"/>
  <c r="H138" i="1"/>
  <c r="I135" i="1"/>
  <c r="H134" i="1"/>
  <c r="I131" i="1"/>
  <c r="H130" i="1"/>
  <c r="I127" i="1"/>
  <c r="H126" i="1"/>
  <c r="I123" i="1"/>
  <c r="H122" i="1"/>
  <c r="I119" i="1"/>
  <c r="H118" i="1"/>
  <c r="G116" i="1"/>
  <c r="L12" i="1" s="1"/>
  <c r="G126" i="1"/>
  <c r="L22" i="1" s="1"/>
  <c r="G130" i="1"/>
  <c r="L26" i="1" s="1"/>
  <c r="C133" i="1"/>
  <c r="C116" i="1"/>
  <c r="C128" i="1"/>
  <c r="C120" i="1"/>
  <c r="D130" i="1"/>
  <c r="D126" i="1"/>
  <c r="D139" i="1"/>
  <c r="D135" i="1"/>
  <c r="D131" i="1"/>
  <c r="D127" i="1"/>
  <c r="D123" i="1"/>
  <c r="G138" i="1"/>
  <c r="L34" i="1" s="1"/>
  <c r="C125" i="1"/>
  <c r="C136" i="1"/>
  <c r="D138" i="1"/>
  <c r="H136" i="1"/>
  <c r="H132" i="1"/>
  <c r="H128" i="1"/>
  <c r="H124" i="1"/>
  <c r="I122" i="1"/>
  <c r="I118" i="1"/>
  <c r="G134" i="1"/>
  <c r="Q9" i="1" s="1"/>
  <c r="H131" i="1"/>
  <c r="H127" i="1"/>
  <c r="D133" i="1"/>
  <c r="B121" i="1"/>
  <c r="D119" i="1"/>
  <c r="G139" i="1"/>
  <c r="L35" i="1" s="1"/>
  <c r="I137" i="1"/>
  <c r="G135" i="1"/>
  <c r="L31" i="1" s="1"/>
  <c r="I133" i="1"/>
  <c r="G131" i="1"/>
  <c r="L27" i="1" s="1"/>
  <c r="I129" i="1"/>
  <c r="G127" i="1"/>
  <c r="L23" i="1" s="1"/>
  <c r="I125" i="1"/>
  <c r="G123" i="1"/>
  <c r="L19" i="1" s="1"/>
  <c r="I121" i="1"/>
  <c r="H120" i="1"/>
  <c r="G119" i="1"/>
  <c r="L15" i="1" s="1"/>
  <c r="C137" i="1"/>
  <c r="C129" i="1"/>
  <c r="C121" i="1"/>
  <c r="H123" i="1"/>
  <c r="B129" i="1"/>
  <c r="B207" i="1" s="1"/>
  <c r="D125" i="1"/>
  <c r="C131" i="1"/>
  <c r="C123" i="1"/>
  <c r="H121" i="1"/>
  <c r="H117" i="1"/>
  <c r="H139" i="1"/>
  <c r="H135" i="1"/>
  <c r="H119" i="1"/>
  <c r="B137" i="1"/>
  <c r="D117" i="1"/>
  <c r="B215" i="1" l="1"/>
  <c r="P7" i="1"/>
  <c r="N13" i="1"/>
  <c r="L30" i="1"/>
  <c r="K134" i="1" s="1"/>
  <c r="L17" i="1"/>
  <c r="K121" i="1" s="1"/>
  <c r="L25" i="1"/>
  <c r="L33" i="1"/>
  <c r="K137" i="1" s="1"/>
  <c r="M13" i="1"/>
  <c r="L91" i="1" s="1"/>
  <c r="M21" i="1"/>
  <c r="L99" i="1" s="1"/>
  <c r="M19" i="1"/>
  <c r="L97" i="1" s="1"/>
  <c r="M34" i="1"/>
  <c r="L112" i="1" s="1"/>
  <c r="M24" i="1"/>
  <c r="L102" i="1" s="1"/>
  <c r="M28" i="1"/>
  <c r="L106" i="1" s="1"/>
  <c r="N67" i="1"/>
  <c r="M15" i="1"/>
  <c r="L93" i="1" s="1"/>
  <c r="B216" i="1"/>
  <c r="K138" i="1"/>
  <c r="M31" i="1"/>
  <c r="L109" i="1" s="1"/>
  <c r="M20" i="1"/>
  <c r="L98" i="1" s="1"/>
  <c r="M18" i="1"/>
  <c r="L96" i="1" s="1"/>
  <c r="B201" i="1"/>
  <c r="K123" i="1"/>
  <c r="B205" i="1"/>
  <c r="K127" i="1"/>
  <c r="M25" i="1"/>
  <c r="L103" i="1" s="1"/>
  <c r="N74" i="1"/>
  <c r="M22" i="1"/>
  <c r="L100" i="1" s="1"/>
  <c r="M17" i="1"/>
  <c r="L95" i="1" s="1"/>
  <c r="B209" i="1"/>
  <c r="K131" i="1"/>
  <c r="M32" i="1"/>
  <c r="L110" i="1" s="1"/>
  <c r="B208" i="1"/>
  <c r="K130" i="1"/>
  <c r="M12" i="1"/>
  <c r="N12" i="1" s="1"/>
  <c r="M29" i="1"/>
  <c r="L107" i="1" s="1"/>
  <c r="M27" i="1"/>
  <c r="L105" i="1" s="1"/>
  <c r="B204" i="1"/>
  <c r="K126" i="1"/>
  <c r="N78" i="1"/>
  <c r="M26" i="1"/>
  <c r="L104" i="1" s="1"/>
  <c r="B217" i="1"/>
  <c r="K139" i="1"/>
  <c r="N87" i="1"/>
  <c r="M35" i="1"/>
  <c r="L113" i="1" s="1"/>
  <c r="N75" i="1"/>
  <c r="M23" i="1"/>
  <c r="L101" i="1" s="1"/>
  <c r="B197" i="1"/>
  <c r="K119" i="1"/>
  <c r="M16" i="1"/>
  <c r="L94" i="1" s="1"/>
  <c r="B213" i="1"/>
  <c r="K135" i="1"/>
  <c r="B194" i="1"/>
  <c r="M33" i="1"/>
  <c r="L111" i="1" s="1"/>
  <c r="M14" i="1"/>
  <c r="L92" i="1" s="1"/>
  <c r="N82" i="1"/>
  <c r="M30" i="1"/>
  <c r="L108" i="1" s="1"/>
  <c r="K129" i="1"/>
  <c r="M71" i="1"/>
  <c r="N64" i="1"/>
  <c r="N65" i="1"/>
  <c r="G186" i="1"/>
  <c r="M9" i="1"/>
  <c r="M76" i="1"/>
  <c r="N71" i="1"/>
  <c r="N79" i="1"/>
  <c r="N86" i="1"/>
  <c r="M80" i="1"/>
  <c r="M85" i="1"/>
  <c r="M70" i="1"/>
  <c r="M77" i="1"/>
  <c r="N80" i="1"/>
  <c r="M72" i="1"/>
  <c r="M86" i="1"/>
  <c r="M75" i="1"/>
  <c r="M74" i="1"/>
  <c r="M81" i="1"/>
  <c r="M66" i="1"/>
  <c r="N66" i="1"/>
  <c r="N77" i="1"/>
  <c r="N83" i="1"/>
  <c r="N72" i="1"/>
  <c r="M73" i="1"/>
  <c r="N69" i="1"/>
  <c r="N84" i="1"/>
  <c r="M68" i="1"/>
  <c r="N85" i="1"/>
  <c r="M83" i="1"/>
  <c r="N70" i="1"/>
  <c r="M87" i="1"/>
  <c r="M79" i="1"/>
  <c r="M69" i="1"/>
  <c r="N68" i="1"/>
  <c r="N76" i="1"/>
  <c r="M84" i="1"/>
  <c r="M64" i="1"/>
  <c r="M65" i="1"/>
  <c r="N73" i="1"/>
  <c r="N81" i="1"/>
  <c r="M82" i="1"/>
  <c r="M78" i="1"/>
  <c r="M67" i="1"/>
  <c r="C163" i="1"/>
  <c r="D163" i="1"/>
  <c r="C146" i="1"/>
  <c r="D146" i="1"/>
  <c r="C148" i="1"/>
  <c r="D148" i="1"/>
  <c r="C161" i="1"/>
  <c r="D161" i="1"/>
  <c r="C149" i="1"/>
  <c r="D149" i="1"/>
  <c r="C154" i="1"/>
  <c r="D154" i="1"/>
  <c r="C158" i="1"/>
  <c r="D158" i="1"/>
  <c r="C152" i="1"/>
  <c r="D152" i="1"/>
  <c r="C165" i="1"/>
  <c r="D165" i="1"/>
  <c r="C147" i="1"/>
  <c r="D147" i="1"/>
  <c r="C162" i="1"/>
  <c r="D162" i="1"/>
  <c r="C143" i="1"/>
  <c r="D143" i="1"/>
  <c r="D160" i="1"/>
  <c r="C160" i="1"/>
  <c r="C156" i="1"/>
  <c r="D156" i="1"/>
  <c r="C145" i="1"/>
  <c r="D145" i="1"/>
  <c r="C157" i="1"/>
  <c r="D157" i="1"/>
  <c r="D142" i="1"/>
  <c r="C142" i="1"/>
  <c r="C155" i="1"/>
  <c r="D155" i="1"/>
  <c r="C151" i="1"/>
  <c r="D151" i="1"/>
  <c r="C159" i="1"/>
  <c r="D159" i="1"/>
  <c r="C150" i="1"/>
  <c r="D150" i="1"/>
  <c r="C144" i="1"/>
  <c r="D144" i="1"/>
  <c r="D164" i="1"/>
  <c r="C164" i="1"/>
  <c r="C153" i="1"/>
  <c r="D153" i="1"/>
  <c r="G173" i="1"/>
  <c r="B199" i="1"/>
  <c r="B212" i="1"/>
  <c r="G146" i="1"/>
  <c r="G149" i="1"/>
  <c r="G154" i="1"/>
  <c r="G158" i="1"/>
  <c r="H158" i="1" s="1"/>
  <c r="G171" i="1"/>
  <c r="G155" i="1"/>
  <c r="I155" i="1" s="1"/>
  <c r="G151" i="1"/>
  <c r="H151" i="1" s="1"/>
  <c r="G159" i="1"/>
  <c r="I159" i="1" s="1"/>
  <c r="G150" i="1"/>
  <c r="G144" i="1"/>
  <c r="H144" i="1" s="1"/>
  <c r="G164" i="1"/>
  <c r="G153" i="1"/>
  <c r="I153" i="1" s="1"/>
  <c r="G189" i="1"/>
  <c r="G163" i="1"/>
  <c r="H163" i="1" s="1"/>
  <c r="G175" i="1"/>
  <c r="G183" i="1"/>
  <c r="G191" i="1"/>
  <c r="G190" i="1"/>
  <c r="G182" i="1"/>
  <c r="G148" i="1"/>
  <c r="I148" i="1" s="1"/>
  <c r="G161" i="1"/>
  <c r="H161" i="1" s="1"/>
  <c r="G178" i="1"/>
  <c r="G152" i="1"/>
  <c r="H152" i="1" s="1"/>
  <c r="G165" i="1"/>
  <c r="I165" i="1" s="1"/>
  <c r="G157" i="1"/>
  <c r="I157" i="1" s="1"/>
  <c r="G147" i="1"/>
  <c r="H147" i="1" s="1"/>
  <c r="G179" i="1"/>
  <c r="G187" i="1"/>
  <c r="G162" i="1"/>
  <c r="G142" i="1"/>
  <c r="H142" i="1" s="1"/>
  <c r="G168" i="1"/>
  <c r="G143" i="1"/>
  <c r="G160" i="1"/>
  <c r="G156" i="1"/>
  <c r="G145" i="1"/>
  <c r="I145" i="1" s="1"/>
  <c r="G181" i="1"/>
  <c r="N31" i="1" l="1"/>
  <c r="N33" i="1"/>
  <c r="N17" i="1"/>
  <c r="N35" i="1"/>
  <c r="N30" i="1"/>
  <c r="N26" i="1"/>
  <c r="N32" i="1"/>
  <c r="K32" i="1" s="1"/>
  <c r="N16" i="1"/>
  <c r="K16" i="1" s="1"/>
  <c r="N27" i="1"/>
  <c r="K27" i="1" s="1"/>
  <c r="N20" i="1"/>
  <c r="N22" i="1"/>
  <c r="N15" i="1"/>
  <c r="N21" i="1"/>
  <c r="N29" i="1"/>
  <c r="N14" i="1"/>
  <c r="K14" i="1" s="1"/>
  <c r="N34" i="1"/>
  <c r="N25" i="1"/>
  <c r="N28" i="1"/>
  <c r="N19" i="1"/>
  <c r="N18" i="1"/>
  <c r="N24" i="1"/>
  <c r="N23" i="1"/>
  <c r="N5" i="1"/>
  <c r="K116" i="1"/>
  <c r="M5" i="1" s="1"/>
  <c r="L90" i="1"/>
  <c r="N6" i="1"/>
  <c r="M8" i="1"/>
  <c r="H185" i="1"/>
  <c r="I147" i="1"/>
  <c r="C195" i="1"/>
  <c r="H143" i="1"/>
  <c r="H216" i="1"/>
  <c r="H164" i="1"/>
  <c r="H198" i="1"/>
  <c r="H146" i="1"/>
  <c r="I164" i="1"/>
  <c r="I161" i="1"/>
  <c r="D187" i="1" s="1"/>
  <c r="I187" i="1" s="1"/>
  <c r="I163" i="1"/>
  <c r="D189" i="1" s="1"/>
  <c r="I189" i="1" s="1"/>
  <c r="H217" i="1"/>
  <c r="H165" i="1"/>
  <c r="I151" i="1"/>
  <c r="D177" i="1" s="1"/>
  <c r="I177" i="1" s="1"/>
  <c r="C197" i="1"/>
  <c r="H145" i="1"/>
  <c r="C214" i="1"/>
  <c r="H162" i="1"/>
  <c r="H186" i="1"/>
  <c r="H160" i="1"/>
  <c r="H202" i="1"/>
  <c r="H150" i="1"/>
  <c r="C206" i="1"/>
  <c r="H154" i="1"/>
  <c r="I154" i="1"/>
  <c r="I150" i="1"/>
  <c r="I144" i="1"/>
  <c r="I142" i="1"/>
  <c r="I158" i="1"/>
  <c r="B184" i="1" s="1"/>
  <c r="C184" i="1" s="1"/>
  <c r="H182" i="1"/>
  <c r="H156" i="1"/>
  <c r="C200" i="1"/>
  <c r="H148" i="1"/>
  <c r="H207" i="1"/>
  <c r="H155" i="1"/>
  <c r="I156" i="1"/>
  <c r="C209" i="1"/>
  <c r="H157" i="1"/>
  <c r="C205" i="1"/>
  <c r="H153" i="1"/>
  <c r="H211" i="1"/>
  <c r="H159" i="1"/>
  <c r="H175" i="1"/>
  <c r="H149" i="1"/>
  <c r="I146" i="1"/>
  <c r="I152" i="1"/>
  <c r="B178" i="1" s="1"/>
  <c r="C178" i="1" s="1"/>
  <c r="I149" i="1"/>
  <c r="I143" i="1"/>
  <c r="I162" i="1"/>
  <c r="I160" i="1"/>
  <c r="H184" i="1"/>
  <c r="H180" i="1"/>
  <c r="C203" i="1"/>
  <c r="C201" i="1"/>
  <c r="C213" i="1"/>
  <c r="C215" i="1"/>
  <c r="C207" i="1"/>
  <c r="H181" i="1"/>
  <c r="C198" i="1"/>
  <c r="C202" i="1"/>
  <c r="H177" i="1"/>
  <c r="H194" i="1"/>
  <c r="C211" i="1"/>
  <c r="H172" i="1"/>
  <c r="H176" i="1"/>
  <c r="H189" i="1"/>
  <c r="C210" i="1"/>
  <c r="H208" i="1"/>
  <c r="H209" i="1"/>
  <c r="H201" i="1"/>
  <c r="H210" i="1"/>
  <c r="H203" i="1"/>
  <c r="H206" i="1"/>
  <c r="H169" i="1"/>
  <c r="H200" i="1"/>
  <c r="H214" i="1"/>
  <c r="H199" i="1"/>
  <c r="H196" i="1"/>
  <c r="H215" i="1"/>
  <c r="H197" i="1"/>
  <c r="H204" i="1"/>
  <c r="H212" i="1"/>
  <c r="H178" i="1"/>
  <c r="H213" i="1"/>
  <c r="H205" i="1"/>
  <c r="H195" i="1"/>
  <c r="C208" i="1"/>
  <c r="C212" i="1"/>
  <c r="H191" i="1"/>
  <c r="H183" i="1"/>
  <c r="H168" i="1"/>
  <c r="H188" i="1"/>
  <c r="H179" i="1"/>
  <c r="C199" i="1"/>
  <c r="H171" i="1"/>
  <c r="C196" i="1"/>
  <c r="C216" i="1"/>
  <c r="H174" i="1"/>
  <c r="H173" i="1"/>
  <c r="C204" i="1"/>
  <c r="H170" i="1"/>
  <c r="H190" i="1"/>
  <c r="C217" i="1"/>
  <c r="H187" i="1"/>
  <c r="C194" i="1"/>
  <c r="K19" i="1"/>
  <c r="T49" i="1" l="1"/>
  <c r="T48" i="1"/>
  <c r="U49" i="1"/>
  <c r="Q49" i="1" s="1"/>
  <c r="U48" i="1"/>
  <c r="Q48" i="1" s="1"/>
  <c r="U45" i="1"/>
  <c r="R45" i="1" s="1"/>
  <c r="T47" i="1"/>
  <c r="T46" i="1"/>
  <c r="T45" i="1"/>
  <c r="M6" i="1"/>
  <c r="U47" i="1"/>
  <c r="Q47" i="1" s="1"/>
  <c r="U46" i="1"/>
  <c r="Q46" i="1" s="1"/>
  <c r="M107" i="1"/>
  <c r="K29" i="1"/>
  <c r="K107" i="1" s="1"/>
  <c r="M91" i="1"/>
  <c r="K13" i="1"/>
  <c r="K91" i="1" s="1"/>
  <c r="M100" i="1"/>
  <c r="K22" i="1"/>
  <c r="K100" i="1" s="1"/>
  <c r="M96" i="1"/>
  <c r="K18" i="1"/>
  <c r="K96" i="1" s="1"/>
  <c r="M93" i="1"/>
  <c r="K15" i="1"/>
  <c r="K93" i="1" s="1"/>
  <c r="M108" i="1"/>
  <c r="K30" i="1"/>
  <c r="K108" i="1" s="1"/>
  <c r="M113" i="1"/>
  <c r="K35" i="1"/>
  <c r="K113" i="1" s="1"/>
  <c r="M98" i="1"/>
  <c r="K20" i="1"/>
  <c r="K98" i="1" s="1"/>
  <c r="M95" i="1"/>
  <c r="K17" i="1"/>
  <c r="K95" i="1" s="1"/>
  <c r="M109" i="1"/>
  <c r="K31" i="1"/>
  <c r="K109" i="1" s="1"/>
  <c r="M112" i="1"/>
  <c r="K34" i="1"/>
  <c r="K112" i="1" s="1"/>
  <c r="M104" i="1"/>
  <c r="K26" i="1"/>
  <c r="K104" i="1" s="1"/>
  <c r="M106" i="1"/>
  <c r="K28" i="1"/>
  <c r="K106" i="1" s="1"/>
  <c r="M101" i="1"/>
  <c r="K23" i="1"/>
  <c r="K101" i="1" s="1"/>
  <c r="M99" i="1"/>
  <c r="K21" i="1"/>
  <c r="K99" i="1" s="1"/>
  <c r="M103" i="1"/>
  <c r="K25" i="1"/>
  <c r="K103" i="1" s="1"/>
  <c r="M111" i="1"/>
  <c r="K33" i="1"/>
  <c r="K111" i="1" s="1"/>
  <c r="M102" i="1"/>
  <c r="K24" i="1"/>
  <c r="K102" i="1" s="1"/>
  <c r="T56" i="1"/>
  <c r="T53" i="1"/>
  <c r="T55" i="1"/>
  <c r="T54" i="1"/>
  <c r="T52" i="1"/>
  <c r="K12" i="1"/>
  <c r="R49" i="1"/>
  <c r="K97" i="1"/>
  <c r="M97" i="1"/>
  <c r="P49" i="1"/>
  <c r="U53" i="1"/>
  <c r="U54" i="1"/>
  <c r="U56" i="1"/>
  <c r="U52" i="1"/>
  <c r="M90" i="1"/>
  <c r="U55" i="1"/>
  <c r="K110" i="1"/>
  <c r="M110" i="1"/>
  <c r="K94" i="1"/>
  <c r="M94" i="1"/>
  <c r="K92" i="1"/>
  <c r="M92" i="1"/>
  <c r="K105" i="1"/>
  <c r="M105" i="1"/>
  <c r="P45" i="1"/>
  <c r="D183" i="1"/>
  <c r="I183" i="1" s="1"/>
  <c r="D184" i="1"/>
  <c r="I184" i="1" s="1"/>
  <c r="B179" i="1"/>
  <c r="C179" i="1" s="1"/>
  <c r="D205" i="1" s="1"/>
  <c r="D180" i="1"/>
  <c r="I180" i="1" s="1"/>
  <c r="B172" i="1"/>
  <c r="C172" i="1" s="1"/>
  <c r="D198" i="1" s="1"/>
  <c r="D179" i="1"/>
  <c r="I179" i="1" s="1"/>
  <c r="D185" i="1"/>
  <c r="I185" i="1" s="1"/>
  <c r="D175" i="1"/>
  <c r="I175" i="1" s="1"/>
  <c r="B180" i="1"/>
  <c r="C180" i="1" s="1"/>
  <c r="D206" i="1" s="1"/>
  <c r="D170" i="1"/>
  <c r="I170" i="1" s="1"/>
  <c r="B177" i="1"/>
  <c r="C177" i="1" s="1"/>
  <c r="D203" i="1" s="1"/>
  <c r="B185" i="1"/>
  <c r="C185" i="1" s="1"/>
  <c r="D211" i="1" s="1"/>
  <c r="D181" i="1"/>
  <c r="I181" i="1" s="1"/>
  <c r="D172" i="1"/>
  <c r="I172" i="1" s="1"/>
  <c r="B175" i="1"/>
  <c r="C175" i="1" s="1"/>
  <c r="D201" i="1" s="1"/>
  <c r="B189" i="1"/>
  <c r="C189" i="1" s="1"/>
  <c r="D215" i="1" s="1"/>
  <c r="D178" i="1"/>
  <c r="I178" i="1" s="1"/>
  <c r="B169" i="1"/>
  <c r="C169" i="1" s="1"/>
  <c r="D195" i="1" s="1"/>
  <c r="B181" i="1"/>
  <c r="C181" i="1" s="1"/>
  <c r="D207" i="1" s="1"/>
  <c r="D176" i="1"/>
  <c r="I176" i="1" s="1"/>
  <c r="D191" i="1"/>
  <c r="I191" i="1" s="1"/>
  <c r="B176" i="1"/>
  <c r="C176" i="1" s="1"/>
  <c r="D202" i="1" s="1"/>
  <c r="B191" i="1"/>
  <c r="C191" i="1" s="1"/>
  <c r="D217" i="1" s="1"/>
  <c r="D173" i="1"/>
  <c r="I173" i="1" s="1"/>
  <c r="B173" i="1"/>
  <c r="C173" i="1" s="1"/>
  <c r="D182" i="1"/>
  <c r="I182" i="1" s="1"/>
  <c r="B182" i="1"/>
  <c r="C182" i="1" s="1"/>
  <c r="B171" i="1"/>
  <c r="C171" i="1" s="1"/>
  <c r="D171" i="1"/>
  <c r="I171" i="1" s="1"/>
  <c r="D169" i="1"/>
  <c r="I169" i="1" s="1"/>
  <c r="B170" i="1"/>
  <c r="C170" i="1" s="1"/>
  <c r="D190" i="1"/>
  <c r="I190" i="1" s="1"/>
  <c r="B190" i="1"/>
  <c r="C190" i="1" s="1"/>
  <c r="B183" i="1"/>
  <c r="C183" i="1" s="1"/>
  <c r="B187" i="1"/>
  <c r="C187" i="1" s="1"/>
  <c r="B186" i="1"/>
  <c r="C186" i="1" s="1"/>
  <c r="D186" i="1"/>
  <c r="I186" i="1" s="1"/>
  <c r="D210" i="1"/>
  <c r="G210" i="1"/>
  <c r="I210" i="1" s="1"/>
  <c r="D188" i="1"/>
  <c r="I188" i="1" s="1"/>
  <c r="B188" i="1"/>
  <c r="C188" i="1" s="1"/>
  <c r="D168" i="1"/>
  <c r="I168" i="1" s="1"/>
  <c r="B168" i="1"/>
  <c r="C168" i="1" s="1"/>
  <c r="D174" i="1"/>
  <c r="I174" i="1" s="1"/>
  <c r="B174" i="1"/>
  <c r="C174" i="1" s="1"/>
  <c r="G204" i="1"/>
  <c r="I204" i="1" s="1"/>
  <c r="D204" i="1"/>
  <c r="M7" i="1"/>
  <c r="R46" i="1" l="1"/>
  <c r="P46" i="1"/>
  <c r="R47" i="1"/>
  <c r="P48" i="1"/>
  <c r="R48" i="1"/>
  <c r="P47" i="1"/>
  <c r="Q45" i="1"/>
  <c r="T42" i="1"/>
  <c r="T40" i="1"/>
  <c r="T39" i="1"/>
  <c r="T41" i="1"/>
  <c r="T38" i="1"/>
  <c r="Q53" i="1"/>
  <c r="R53" i="1"/>
  <c r="Q55" i="1"/>
  <c r="R55" i="1"/>
  <c r="R52" i="1"/>
  <c r="Q52" i="1"/>
  <c r="Q56" i="1"/>
  <c r="R56" i="1"/>
  <c r="Q54" i="1"/>
  <c r="R54" i="1"/>
  <c r="K90" i="1"/>
  <c r="U38" i="1"/>
  <c r="V38" i="1" s="1"/>
  <c r="U41" i="1"/>
  <c r="V41" i="1" s="1"/>
  <c r="U39" i="1"/>
  <c r="V39" i="1" s="1"/>
  <c r="P56" i="1"/>
  <c r="M4" i="1"/>
  <c r="U40" i="1"/>
  <c r="V40" i="1" s="1"/>
  <c r="P54" i="1"/>
  <c r="U42" i="1"/>
  <c r="V42" i="1" s="1"/>
  <c r="P55" i="1"/>
  <c r="P52" i="1"/>
  <c r="P53" i="1"/>
  <c r="G201" i="1"/>
  <c r="I201" i="1" s="1"/>
  <c r="G195" i="1"/>
  <c r="I195" i="1" s="1"/>
  <c r="G205" i="1"/>
  <c r="I205" i="1" s="1"/>
  <c r="G206" i="1"/>
  <c r="I206" i="1" s="1"/>
  <c r="G198" i="1"/>
  <c r="I198" i="1" s="1"/>
  <c r="G207" i="1"/>
  <c r="I207" i="1" s="1"/>
  <c r="G211" i="1"/>
  <c r="I211" i="1" s="1"/>
  <c r="G215" i="1"/>
  <c r="I215" i="1" s="1"/>
  <c r="G203" i="1"/>
  <c r="I203" i="1" s="1"/>
  <c r="G217" i="1"/>
  <c r="I217" i="1" s="1"/>
  <c r="G202" i="1"/>
  <c r="I202" i="1" s="1"/>
  <c r="D209" i="1"/>
  <c r="G209" i="1"/>
  <c r="I209" i="1" s="1"/>
  <c r="G196" i="1"/>
  <c r="I196" i="1" s="1"/>
  <c r="D196" i="1"/>
  <c r="G208" i="1"/>
  <c r="I208" i="1" s="1"/>
  <c r="D208" i="1"/>
  <c r="G194" i="1"/>
  <c r="I194" i="1" s="1"/>
  <c r="D194" i="1"/>
  <c r="D213" i="1"/>
  <c r="G213" i="1"/>
  <c r="I213" i="1" s="1"/>
  <c r="G200" i="1"/>
  <c r="I200" i="1" s="1"/>
  <c r="D200" i="1"/>
  <c r="G216" i="1"/>
  <c r="I216" i="1" s="1"/>
  <c r="D216" i="1"/>
  <c r="D197" i="1"/>
  <c r="G197" i="1"/>
  <c r="I197" i="1" s="1"/>
  <c r="G199" i="1"/>
  <c r="I199" i="1" s="1"/>
  <c r="D199" i="1"/>
  <c r="D214" i="1"/>
  <c r="G214" i="1"/>
  <c r="I214" i="1" s="1"/>
  <c r="G212" i="1"/>
  <c r="I212" i="1" s="1"/>
  <c r="D212" i="1"/>
  <c r="R38" i="1" l="1"/>
  <c r="W38" i="1"/>
  <c r="Q38" i="1"/>
  <c r="Q42" i="1"/>
  <c r="W42" i="1"/>
  <c r="R42" i="1"/>
  <c r="Q40" i="1"/>
  <c r="R40" i="1"/>
  <c r="W40" i="1"/>
  <c r="Q39" i="1"/>
  <c r="R39" i="1"/>
  <c r="W39" i="1"/>
  <c r="W41" i="1"/>
  <c r="Q41" i="1"/>
  <c r="R41" i="1"/>
  <c r="P42" i="1"/>
  <c r="P41" i="1"/>
  <c r="P38" i="1"/>
  <c r="P39" i="1"/>
  <c r="P40" i="1"/>
</calcChain>
</file>

<file path=xl/sharedStrings.xml><?xml version="1.0" encoding="utf-8"?>
<sst xmlns="http://schemas.openxmlformats.org/spreadsheetml/2006/main" count="101" uniqueCount="87">
  <si>
    <t>sRGB2XYZ Matrix</t>
  </si>
  <si>
    <t>White point</t>
  </si>
  <si>
    <t>Target fx</t>
    <phoneticPr fontId="18" type="noConversion"/>
  </si>
  <si>
    <t>Target fy</t>
    <phoneticPr fontId="18" type="noConversion"/>
  </si>
  <si>
    <t>Target fz</t>
    <phoneticPr fontId="18" type="noConversion"/>
  </si>
  <si>
    <t>Final fx</t>
    <phoneticPr fontId="18" type="noConversion"/>
  </si>
  <si>
    <t>Final fy</t>
    <phoneticPr fontId="18" type="noConversion"/>
  </si>
  <si>
    <t>Final fz</t>
    <phoneticPr fontId="18" type="noConversion"/>
  </si>
  <si>
    <t>Target L</t>
    <phoneticPr fontId="18" type="noConversion"/>
  </si>
  <si>
    <t>Target a</t>
    <phoneticPr fontId="18" type="noConversion"/>
  </si>
  <si>
    <t>Target b</t>
    <phoneticPr fontId="18" type="noConversion"/>
  </si>
  <si>
    <t>Final L</t>
    <phoneticPr fontId="18" type="noConversion"/>
  </si>
  <si>
    <t>Final a</t>
    <phoneticPr fontId="18" type="noConversion"/>
  </si>
  <si>
    <t>Final b</t>
    <phoneticPr fontId="18" type="noConversion"/>
  </si>
  <si>
    <t>Lightness error abs avg</t>
    <phoneticPr fontId="18" type="noConversion"/>
  </si>
  <si>
    <t>dE avg</t>
    <phoneticPr fontId="18" type="noConversion"/>
  </si>
  <si>
    <t>Chroma error abs avg</t>
    <phoneticPr fontId="18" type="noConversion"/>
  </si>
  <si>
    <t>Hue error abs avg</t>
    <phoneticPr fontId="18" type="noConversion"/>
  </si>
  <si>
    <t>Δlightness</t>
    <phoneticPr fontId="18" type="noConversion"/>
  </si>
  <si>
    <t>Δchroma</t>
    <phoneticPr fontId="18" type="noConversion"/>
  </si>
  <si>
    <t>Δhue</t>
    <phoneticPr fontId="18" type="noConversion"/>
  </si>
  <si>
    <r>
      <t>S</t>
    </r>
    <r>
      <rPr>
        <vertAlign val="subscript"/>
        <sz val="9"/>
        <color theme="1"/>
        <rFont val="新細明體"/>
        <family val="1"/>
        <charset val="136"/>
        <scheme val="minor"/>
      </rPr>
      <t>C</t>
    </r>
    <phoneticPr fontId="18" type="noConversion"/>
  </si>
  <si>
    <r>
      <t>S</t>
    </r>
    <r>
      <rPr>
        <vertAlign val="subscript"/>
        <sz val="9"/>
        <color theme="1"/>
        <rFont val="新細明體"/>
        <family val="1"/>
        <charset val="136"/>
        <scheme val="minor"/>
      </rPr>
      <t>H</t>
    </r>
    <phoneticPr fontId="18" type="noConversion"/>
  </si>
  <si>
    <r>
      <t>S</t>
    </r>
    <r>
      <rPr>
        <vertAlign val="subscript"/>
        <sz val="9"/>
        <color theme="1"/>
        <rFont val="新細明體"/>
        <family val="1"/>
        <charset val="136"/>
        <scheme val="minor"/>
      </rPr>
      <t>L</t>
    </r>
    <phoneticPr fontId="18" type="noConversion"/>
  </si>
  <si>
    <r>
      <t>K</t>
    </r>
    <r>
      <rPr>
        <vertAlign val="subscript"/>
        <sz val="9"/>
        <color theme="1"/>
        <rFont val="新細明體"/>
        <family val="1"/>
        <charset val="136"/>
        <scheme val="minor"/>
      </rPr>
      <t>L</t>
    </r>
    <phoneticPr fontId="18" type="noConversion"/>
  </si>
  <si>
    <r>
      <t>K</t>
    </r>
    <r>
      <rPr>
        <vertAlign val="subscript"/>
        <sz val="9"/>
        <color theme="1"/>
        <rFont val="新細明體"/>
        <family val="1"/>
        <charset val="136"/>
        <scheme val="minor"/>
      </rPr>
      <t>C</t>
    </r>
    <phoneticPr fontId="18" type="noConversion"/>
  </si>
  <si>
    <r>
      <t>K</t>
    </r>
    <r>
      <rPr>
        <vertAlign val="subscript"/>
        <sz val="9"/>
        <color theme="1"/>
        <rFont val="新細明體"/>
        <family val="1"/>
        <charset val="136"/>
        <scheme val="minor"/>
      </rPr>
      <t>H</t>
    </r>
    <phoneticPr fontId="18" type="noConversion"/>
  </si>
  <si>
    <r>
      <t>K</t>
    </r>
    <r>
      <rPr>
        <vertAlign val="subscript"/>
        <sz val="9"/>
        <color theme="1"/>
        <rFont val="新細明體"/>
        <family val="1"/>
        <charset val="136"/>
        <scheme val="minor"/>
      </rPr>
      <t>1</t>
    </r>
    <phoneticPr fontId="18" type="noConversion"/>
  </si>
  <si>
    <r>
      <t>K</t>
    </r>
    <r>
      <rPr>
        <vertAlign val="subscript"/>
        <sz val="9"/>
        <color theme="1"/>
        <rFont val="新細明體"/>
        <family val="1"/>
        <charset val="136"/>
        <scheme val="minor"/>
      </rPr>
      <t>2</t>
    </r>
    <phoneticPr fontId="18" type="noConversion"/>
  </si>
  <si>
    <t>G</t>
    <phoneticPr fontId="18" type="noConversion"/>
  </si>
  <si>
    <t>h1</t>
    <phoneticPr fontId="18" type="noConversion"/>
  </si>
  <si>
    <t>h2</t>
    <phoneticPr fontId="18" type="noConversion"/>
  </si>
  <si>
    <t>H</t>
    <phoneticPr fontId="18" type="noConversion"/>
  </si>
  <si>
    <t>T</t>
    <phoneticPr fontId="18" type="noConversion"/>
  </si>
  <si>
    <t>Δh</t>
    <phoneticPr fontId="18" type="noConversion"/>
  </si>
  <si>
    <t>ΔC</t>
    <phoneticPr fontId="18" type="noConversion"/>
  </si>
  <si>
    <t>ΔH</t>
    <phoneticPr fontId="18" type="noConversion"/>
  </si>
  <si>
    <t>ΔL</t>
    <phoneticPr fontId="18" type="noConversion"/>
  </si>
  <si>
    <t>Δθ</t>
    <phoneticPr fontId="18" type="noConversion"/>
  </si>
  <si>
    <r>
      <t>R</t>
    </r>
    <r>
      <rPr>
        <vertAlign val="subscript"/>
        <sz val="9"/>
        <color theme="1"/>
        <rFont val="新細明體"/>
        <family val="1"/>
        <charset val="136"/>
        <scheme val="minor"/>
      </rPr>
      <t>C</t>
    </r>
    <phoneticPr fontId="18" type="noConversion"/>
  </si>
  <si>
    <r>
      <t>R</t>
    </r>
    <r>
      <rPr>
        <vertAlign val="subscript"/>
        <sz val="9"/>
        <color theme="1"/>
        <rFont val="新細明體"/>
        <family val="1"/>
        <charset val="136"/>
        <scheme val="minor"/>
      </rPr>
      <t>T</t>
    </r>
    <phoneticPr fontId="18" type="noConversion"/>
  </si>
  <si>
    <t>Target X</t>
    <phoneticPr fontId="18" type="noConversion"/>
  </si>
  <si>
    <t>Target Y</t>
    <phoneticPr fontId="18" type="noConversion"/>
  </si>
  <si>
    <t>Target Z</t>
    <phoneticPr fontId="18" type="noConversion"/>
  </si>
  <si>
    <t>Final X</t>
    <phoneticPr fontId="18" type="noConversion"/>
  </si>
  <si>
    <t>Final Y</t>
    <phoneticPr fontId="18" type="noConversion"/>
  </si>
  <si>
    <t>Final Z</t>
    <phoneticPr fontId="18" type="noConversion"/>
  </si>
  <si>
    <r>
      <t>00S</t>
    </r>
    <r>
      <rPr>
        <vertAlign val="subscript"/>
        <sz val="9"/>
        <color theme="1"/>
        <rFont val="新細明體"/>
        <family val="1"/>
        <charset val="136"/>
        <scheme val="minor"/>
      </rPr>
      <t>L</t>
    </r>
    <phoneticPr fontId="18" type="noConversion"/>
  </si>
  <si>
    <r>
      <t>00S</t>
    </r>
    <r>
      <rPr>
        <vertAlign val="subscript"/>
        <sz val="9"/>
        <color theme="1"/>
        <rFont val="新細明體"/>
        <family val="1"/>
        <charset val="136"/>
        <scheme val="minor"/>
      </rPr>
      <t>C</t>
    </r>
    <phoneticPr fontId="18" type="noConversion"/>
  </si>
  <si>
    <r>
      <t>00S</t>
    </r>
    <r>
      <rPr>
        <vertAlign val="subscript"/>
        <sz val="9"/>
        <color theme="1"/>
        <rFont val="新細明體"/>
        <family val="1"/>
        <charset val="136"/>
        <scheme val="minor"/>
      </rPr>
      <t>H</t>
    </r>
    <phoneticPr fontId="18" type="noConversion"/>
  </si>
  <si>
    <t>Target R</t>
    <phoneticPr fontId="18" type="noConversion"/>
  </si>
  <si>
    <t>Target G</t>
    <phoneticPr fontId="18" type="noConversion"/>
  </si>
  <si>
    <t>Target B</t>
    <phoneticPr fontId="18" type="noConversion"/>
  </si>
  <si>
    <t>Final R</t>
    <phoneticPr fontId="18" type="noConversion"/>
  </si>
  <si>
    <t>Final G</t>
    <phoneticPr fontId="18" type="noConversion"/>
  </si>
  <si>
    <t>Final B</t>
    <phoneticPr fontId="18" type="noConversion"/>
  </si>
  <si>
    <t>deltaE constant value</t>
    <phoneticPr fontId="18" type="noConversion"/>
  </si>
  <si>
    <t>ΔE</t>
  </si>
  <si>
    <t>S1</t>
    <phoneticPr fontId="18" type="noConversion"/>
  </si>
  <si>
    <t>S2</t>
    <phoneticPr fontId="18" type="noConversion"/>
  </si>
  <si>
    <t>C1</t>
    <phoneticPr fontId="18" type="noConversion"/>
  </si>
  <si>
    <t>C2</t>
    <phoneticPr fontId="18" type="noConversion"/>
  </si>
  <si>
    <t>Mean camera chroma</t>
    <phoneticPr fontId="18" type="noConversion"/>
  </si>
  <si>
    <t>Target sR</t>
    <phoneticPr fontId="18" type="noConversion"/>
  </si>
  <si>
    <t>Target sG</t>
    <phoneticPr fontId="18" type="noConversion"/>
  </si>
  <si>
    <t>Target sB</t>
    <phoneticPr fontId="18" type="noConversion"/>
  </si>
  <si>
    <t>Final sR</t>
    <phoneticPr fontId="18" type="noConversion"/>
  </si>
  <si>
    <t>Final sG</t>
    <phoneticPr fontId="18" type="noConversion"/>
  </si>
  <si>
    <t>Final sB</t>
    <phoneticPr fontId="18" type="noConversion"/>
  </si>
  <si>
    <t>Contrast ratio</t>
    <phoneticPr fontId="18" type="noConversion"/>
  </si>
  <si>
    <r>
      <rPr>
        <sz val="12"/>
        <color theme="1"/>
        <rFont val="Calibri"/>
        <family val="2"/>
        <charset val="161"/>
      </rPr>
      <t>Δ</t>
    </r>
    <r>
      <rPr>
        <sz val="12"/>
        <color theme="1"/>
        <rFont val="新細明體"/>
        <family val="2"/>
        <charset val="136"/>
        <scheme val="minor"/>
      </rPr>
      <t>E</t>
    </r>
    <phoneticPr fontId="18" type="noConversion"/>
  </si>
  <si>
    <t>Δhue</t>
  </si>
  <si>
    <t>R</t>
  </si>
  <si>
    <t>G</t>
  </si>
  <si>
    <t>B</t>
  </si>
  <si>
    <t>Color summary</t>
    <phoneticPr fontId="18" type="noConversion"/>
  </si>
  <si>
    <t>crtl + j</t>
    <phoneticPr fontId="18" type="noConversion"/>
  </si>
  <si>
    <t>Ycrcb constant value</t>
    <phoneticPr fontId="18" type="noConversion"/>
  </si>
  <si>
    <r>
      <t>K</t>
    </r>
    <r>
      <rPr>
        <vertAlign val="subscript"/>
        <sz val="9"/>
        <color theme="1"/>
        <rFont val="新細明體"/>
        <family val="1"/>
        <charset val="136"/>
        <scheme val="minor"/>
      </rPr>
      <t>R</t>
    </r>
    <phoneticPr fontId="18" type="noConversion"/>
  </si>
  <si>
    <r>
      <t>K</t>
    </r>
    <r>
      <rPr>
        <vertAlign val="subscript"/>
        <sz val="9"/>
        <color theme="1"/>
        <rFont val="新細明體"/>
        <family val="1"/>
        <charset val="136"/>
        <scheme val="minor"/>
      </rPr>
      <t>G</t>
    </r>
    <phoneticPr fontId="18" type="noConversion"/>
  </si>
  <si>
    <t>Macbeth Color Checker Analyzer</t>
    <phoneticPr fontId="18" type="noConversion"/>
  </si>
  <si>
    <t>Target CR</t>
    <phoneticPr fontId="18" type="noConversion"/>
  </si>
  <si>
    <t>Final CR</t>
    <phoneticPr fontId="18" type="noConversion"/>
  </si>
  <si>
    <t>Target L</t>
    <phoneticPr fontId="18" type="noConversion"/>
  </si>
  <si>
    <t>Final L</t>
    <phoneticPr fontId="18" type="noConversion"/>
  </si>
  <si>
    <t>Target Y</t>
    <phoneticPr fontId="18" type="noConversion"/>
  </si>
  <si>
    <t>1. 按ctrl+j，重跑巨集更新色塊，所有工作表會一起更新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</si>
</sst>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_ "/>
    <numFmt numFmtId="177" formatCode="0.00_ "/>
    <numFmt numFmtId="178" formatCode="0.000_);[Red]\(0.000\)"/>
    <numFmt numFmtId="179" formatCode="0_);[Red]\(0\)"/>
    <numFmt numFmtId="180" formatCode="0.000_ ;[Red]\-0.000\ "/>
  </numFmts>
  <fonts count="3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1"/>
      <charset val="136"/>
      <scheme val="minor"/>
    </font>
    <font>
      <vertAlign val="subscript"/>
      <sz val="9"/>
      <color theme="1"/>
      <name val="新細明體"/>
      <family val="1"/>
      <charset val="136"/>
      <scheme val="minor"/>
    </font>
    <font>
      <sz val="12"/>
      <color theme="4" tint="-0.249977111117893"/>
      <name val="新細明體"/>
      <family val="1"/>
      <charset val="136"/>
      <scheme val="minor"/>
    </font>
    <font>
      <sz val="10"/>
      <color theme="0"/>
      <name val="新細明體"/>
      <family val="2"/>
      <charset val="136"/>
      <scheme val="minor"/>
    </font>
    <font>
      <sz val="12"/>
      <color theme="1"/>
      <name val="新細明體"/>
      <family val="2"/>
      <charset val="161"/>
      <scheme val="minor"/>
    </font>
    <font>
      <sz val="12"/>
      <color theme="1"/>
      <name val="Calibri"/>
      <family val="2"/>
      <charset val="161"/>
    </font>
    <font>
      <sz val="12"/>
      <color theme="4" tint="-0.249977111117893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20"/>
      <color theme="1"/>
      <name val="Calibri"/>
      <family val="2"/>
    </font>
    <font>
      <sz val="20"/>
      <color theme="1"/>
      <name val="新細明體"/>
      <family val="2"/>
      <charset val="136"/>
      <scheme val="minor"/>
    </font>
    <font>
      <b/>
      <sz val="14"/>
      <color theme="1"/>
      <name val="Calibri"/>
      <family val="2"/>
    </font>
    <font>
      <sz val="11"/>
      <color theme="1"/>
      <name val="新細明體"/>
      <family val="1"/>
      <charset val="136"/>
      <scheme val="minor"/>
    </font>
  </fonts>
  <fills count="8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895D45"/>
        <bgColor indexed="64"/>
      </patternFill>
    </fill>
    <fill>
      <patternFill patternType="solid">
        <fgColor rgb="FFD8A18A"/>
        <bgColor indexed="64"/>
      </patternFill>
    </fill>
    <fill>
      <patternFill patternType="solid">
        <fgColor rgb="FF7E93A5"/>
        <bgColor indexed="64"/>
      </patternFill>
    </fill>
    <fill>
      <patternFill patternType="solid">
        <fgColor rgb="FF768740"/>
        <bgColor indexed="64"/>
      </patternFill>
    </fill>
    <fill>
      <patternFill patternType="solid">
        <fgColor rgb="FFA19BB8"/>
        <bgColor indexed="64"/>
      </patternFill>
    </fill>
    <fill>
      <patternFill patternType="solid">
        <fgColor rgb="FF8AC6AF"/>
        <bgColor indexed="64"/>
      </patternFill>
    </fill>
    <fill>
      <patternFill patternType="solid">
        <fgColor rgb="FFD9790E"/>
        <bgColor indexed="64"/>
      </patternFill>
    </fill>
    <fill>
      <patternFill patternType="solid">
        <fgColor rgb="FF5371AC"/>
        <bgColor indexed="64"/>
      </patternFill>
    </fill>
    <fill>
      <patternFill patternType="solid">
        <fgColor rgb="FFD55561"/>
        <bgColor indexed="64"/>
      </patternFill>
    </fill>
    <fill>
      <patternFill patternType="solid">
        <fgColor rgb="FF69426F"/>
        <bgColor indexed="64"/>
      </patternFill>
    </fill>
    <fill>
      <patternFill patternType="solid">
        <fgColor rgb="FFACC005"/>
        <bgColor indexed="64"/>
      </patternFill>
    </fill>
    <fill>
      <patternFill patternType="solid">
        <fgColor rgb="FFDFA803"/>
        <bgColor indexed="64"/>
      </patternFill>
    </fill>
    <fill>
      <patternFill patternType="solid">
        <fgColor rgb="FF203D8C"/>
        <bgColor indexed="64"/>
      </patternFill>
    </fill>
    <fill>
      <patternFill patternType="solid">
        <fgColor rgb="FF589D3B"/>
        <bgColor indexed="64"/>
      </patternFill>
    </fill>
    <fill>
      <patternFill patternType="solid">
        <fgColor rgb="FFC02D2C"/>
        <bgColor indexed="64"/>
      </patternFill>
    </fill>
    <fill>
      <patternFill patternType="solid">
        <fgColor rgb="FFE9C901"/>
        <bgColor indexed="64"/>
      </patternFill>
    </fill>
    <fill>
      <patternFill patternType="solid">
        <fgColor rgb="FFC45B96"/>
        <bgColor indexed="64"/>
      </patternFill>
    </fill>
    <fill>
      <patternFill patternType="solid">
        <fgColor rgb="FF068B9E"/>
        <bgColor indexed="64"/>
      </patternFill>
    </fill>
    <fill>
      <patternFill patternType="solid">
        <fgColor rgb="FFE6DFD1"/>
        <bgColor indexed="64"/>
      </patternFill>
    </fill>
    <fill>
      <patternFill patternType="solid">
        <fgColor rgb="FFCBC8BC"/>
        <bgColor indexed="64"/>
      </patternFill>
    </fill>
    <fill>
      <patternFill patternType="solid">
        <fgColor rgb="FFAEAAA1"/>
        <bgColor indexed="64"/>
      </patternFill>
    </fill>
    <fill>
      <patternFill patternType="solid">
        <fgColor rgb="FF86817B"/>
        <bgColor indexed="64"/>
      </patternFill>
    </fill>
    <fill>
      <patternFill patternType="solid">
        <fgColor rgb="FF5B554F"/>
        <bgColor indexed="64"/>
      </patternFill>
    </fill>
    <fill>
      <patternFill patternType="solid">
        <fgColor rgb="FF221718"/>
        <bgColor indexed="64"/>
      </patternFill>
    </fill>
    <fill>
      <patternFill patternType="solid">
        <fgColor rgb="FF93634E"/>
        <bgColor indexed="64"/>
      </patternFill>
    </fill>
    <fill>
      <patternFill patternType="solid">
        <fgColor rgb="FFE8B293"/>
        <bgColor indexed="64"/>
      </patternFill>
    </fill>
    <fill>
      <patternFill patternType="solid">
        <fgColor rgb="FF7B94B1"/>
        <bgColor indexed="64"/>
      </patternFill>
    </fill>
    <fill>
      <patternFill patternType="solid">
        <fgColor rgb="FF7A9451"/>
        <bgColor indexed="64"/>
      </patternFill>
    </fill>
    <fill>
      <patternFill patternType="solid">
        <fgColor rgb="FFA69AC1"/>
        <bgColor indexed="64"/>
      </patternFill>
    </fill>
    <fill>
      <patternFill patternType="solid">
        <fgColor rgb="FF86D3BB"/>
        <bgColor indexed="64"/>
      </patternFill>
    </fill>
    <fill>
      <patternFill patternType="solid">
        <fgColor rgb="FFEB8B31"/>
        <bgColor indexed="64"/>
      </patternFill>
    </fill>
    <fill>
      <patternFill patternType="solid">
        <fgColor rgb="FF4356B6"/>
        <bgColor indexed="64"/>
      </patternFill>
    </fill>
    <fill>
      <patternFill patternType="solid">
        <fgColor rgb="FFE45A63"/>
        <bgColor indexed="64"/>
      </patternFill>
    </fill>
    <fill>
      <patternFill patternType="solid">
        <fgColor rgb="FF683D6F"/>
        <bgColor indexed="64"/>
      </patternFill>
    </fill>
    <fill>
      <patternFill patternType="solid">
        <fgColor rgb="FFBDD636"/>
        <bgColor indexed="64"/>
      </patternFill>
    </fill>
    <fill>
      <patternFill patternType="solid">
        <fgColor rgb="FFECC129"/>
        <bgColor indexed="64"/>
      </patternFill>
    </fill>
    <fill>
      <patternFill patternType="solid">
        <fgColor rgb="FF1D2690"/>
        <bgColor indexed="64"/>
      </patternFill>
    </fill>
    <fill>
      <patternFill patternType="solid">
        <fgColor rgb="FF5DAF4E"/>
        <bgColor indexed="64"/>
      </patternFill>
    </fill>
    <fill>
      <patternFill patternType="solid">
        <fgColor rgb="FFD23E37"/>
        <bgColor indexed="64"/>
      </patternFill>
    </fill>
    <fill>
      <patternFill patternType="solid">
        <fgColor rgb="FFF5DF1D"/>
        <bgColor indexed="64"/>
      </patternFill>
    </fill>
    <fill>
      <patternFill patternType="solid">
        <fgColor rgb="FFD34B99"/>
        <bgColor indexed="64"/>
      </patternFill>
    </fill>
    <fill>
      <patternFill patternType="solid">
        <fgColor rgb="FF0584A3"/>
        <bgColor indexed="64"/>
      </patternFill>
    </fill>
    <fill>
      <patternFill patternType="solid">
        <fgColor rgb="FFF1ECDF"/>
        <bgColor indexed="64"/>
      </patternFill>
    </fill>
    <fill>
      <patternFill patternType="solid">
        <fgColor rgb="FFDBD5CB"/>
        <bgColor indexed="64"/>
      </patternFill>
    </fill>
    <fill>
      <patternFill patternType="solid">
        <fgColor rgb="FFBDB6AC"/>
        <bgColor indexed="64"/>
      </patternFill>
    </fill>
    <fill>
      <patternFill patternType="solid">
        <fgColor rgb="FF8A837C"/>
        <bgColor indexed="64"/>
      </patternFill>
    </fill>
    <fill>
      <patternFill patternType="solid">
        <fgColor rgb="FF5A5550"/>
        <bgColor indexed="64"/>
      </patternFill>
    </fill>
    <fill>
      <patternFill patternType="solid">
        <fgColor rgb="FF2E2829"/>
        <bgColor indexed="64"/>
      </patternFill>
    </fill>
    <fill>
      <patternFill patternType="solid">
        <fgColor rgb="FF000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1" fillId="0" borderId="11" xfId="0" applyFont="1" applyBorder="1" applyAlignment="1">
      <alignment horizontal="left" vertical="center"/>
    </xf>
    <xf numFmtId="0" fontId="21" fillId="0" borderId="13" xfId="0" applyFont="1" applyBorder="1" applyAlignment="1">
      <alignment horizontal="left" vertical="center"/>
    </xf>
    <xf numFmtId="0" fontId="0" fillId="0" borderId="0" xfId="0" applyAlignment="1">
      <alignment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vertical="center" wrapText="1"/>
    </xf>
    <xf numFmtId="179" fontId="0" fillId="0" borderId="0" xfId="0" applyNumberFormat="1" applyAlignment="1">
      <alignment horizontal="center" vertical="center"/>
    </xf>
    <xf numFmtId="178" fontId="19" fillId="0" borderId="0" xfId="0" applyNumberFormat="1" applyFont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78" fontId="0" fillId="33" borderId="10" xfId="0" applyNumberFormat="1" applyFill="1" applyBorder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40" borderId="0" xfId="0" applyFill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0" fillId="43" borderId="0" xfId="0" applyFill="1" applyAlignment="1">
      <alignment horizontal="center" vertical="center"/>
    </xf>
    <xf numFmtId="0" fontId="0" fillId="44" borderId="0" xfId="0" applyFill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46" borderId="0" xfId="0" applyFill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0" fontId="0" fillId="50" borderId="0" xfId="0" applyFill="1" applyAlignment="1">
      <alignment horizontal="center" vertical="center"/>
    </xf>
    <xf numFmtId="0" fontId="0" fillId="51" borderId="0" xfId="0" applyFill="1" applyAlignment="1">
      <alignment horizontal="center" vertical="center"/>
    </xf>
    <xf numFmtId="0" fontId="0" fillId="52" borderId="0" xfId="0" applyFill="1" applyAlignment="1">
      <alignment horizontal="center" vertical="center"/>
    </xf>
    <xf numFmtId="0" fontId="0" fillId="53" borderId="0" xfId="0" applyFill="1" applyAlignment="1">
      <alignment horizontal="center" vertical="center"/>
    </xf>
    <xf numFmtId="0" fontId="0" fillId="54" borderId="0" xfId="0" applyFill="1" applyAlignment="1">
      <alignment horizontal="center" vertical="center"/>
    </xf>
    <xf numFmtId="9" fontId="22" fillId="55" borderId="0" xfId="0" applyNumberFormat="1" applyFont="1" applyFill="1" applyAlignment="1">
      <alignment horizontal="center" vertical="center"/>
    </xf>
    <xf numFmtId="0" fontId="0" fillId="56" borderId="0" xfId="0" applyFill="1" applyAlignment="1">
      <alignment horizontal="center" vertical="center"/>
    </xf>
    <xf numFmtId="0" fontId="0" fillId="57" borderId="0" xfId="0" applyFill="1" applyAlignment="1">
      <alignment horizontal="center" vertical="center"/>
    </xf>
    <xf numFmtId="10" fontId="0" fillId="33" borderId="10" xfId="0" applyNumberFormat="1" applyFill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33" borderId="17" xfId="0" applyFill="1" applyBorder="1" applyAlignment="1">
      <alignment horizontal="center" vertical="center"/>
    </xf>
    <xf numFmtId="0" fontId="26" fillId="33" borderId="17" xfId="0" applyFont="1" applyFill="1" applyBorder="1" applyAlignment="1">
      <alignment horizontal="center" vertical="center"/>
    </xf>
    <xf numFmtId="0" fontId="0" fillId="58" borderId="0" xfId="0" applyFill="1" applyAlignment="1">
      <alignment horizontal="center" vertical="center" wrapText="1"/>
    </xf>
    <xf numFmtId="0" fontId="0" fillId="59" borderId="0" xfId="0" applyFill="1" applyAlignment="1">
      <alignment horizontal="center" vertical="center" wrapText="1"/>
    </xf>
    <xf numFmtId="0" fontId="0" fillId="60" borderId="0" xfId="0" applyFill="1" applyAlignment="1">
      <alignment horizontal="center" vertical="center" wrapText="1"/>
    </xf>
    <xf numFmtId="0" fontId="0" fillId="61" borderId="0" xfId="0" applyFill="1" applyAlignment="1">
      <alignment horizontal="center" vertical="center" wrapText="1"/>
    </xf>
    <xf numFmtId="0" fontId="0" fillId="62" borderId="0" xfId="0" applyFill="1" applyAlignment="1">
      <alignment horizontal="center" vertical="center" wrapText="1"/>
    </xf>
    <xf numFmtId="0" fontId="0" fillId="63" borderId="0" xfId="0" applyFill="1" applyAlignment="1">
      <alignment horizontal="center" vertical="center" wrapText="1"/>
    </xf>
    <xf numFmtId="0" fontId="0" fillId="64" borderId="0" xfId="0" applyFill="1" applyAlignment="1">
      <alignment horizontal="center" vertical="center" wrapText="1"/>
    </xf>
    <xf numFmtId="0" fontId="0" fillId="65" borderId="0" xfId="0" applyFill="1" applyAlignment="1">
      <alignment horizontal="center" vertical="center" wrapText="1"/>
    </xf>
    <xf numFmtId="0" fontId="0" fillId="66" borderId="0" xfId="0" applyFill="1" applyAlignment="1">
      <alignment horizontal="center" vertical="center" wrapText="1"/>
    </xf>
    <xf numFmtId="0" fontId="0" fillId="67" borderId="0" xfId="0" applyFill="1" applyAlignment="1">
      <alignment horizontal="center" vertical="center" wrapText="1"/>
    </xf>
    <xf numFmtId="0" fontId="0" fillId="68" borderId="0" xfId="0" applyFill="1" applyAlignment="1">
      <alignment horizontal="center" vertical="center" wrapText="1"/>
    </xf>
    <xf numFmtId="0" fontId="0" fillId="69" borderId="0" xfId="0" applyFill="1" applyAlignment="1">
      <alignment horizontal="center" vertical="center" wrapText="1"/>
    </xf>
    <xf numFmtId="0" fontId="0" fillId="70" borderId="0" xfId="0" applyFill="1" applyAlignment="1">
      <alignment horizontal="center" vertical="center" wrapText="1"/>
    </xf>
    <xf numFmtId="0" fontId="0" fillId="71" borderId="0" xfId="0" applyFill="1" applyAlignment="1">
      <alignment horizontal="center" vertical="center" wrapText="1"/>
    </xf>
    <xf numFmtId="0" fontId="0" fillId="72" borderId="0" xfId="0" applyFill="1" applyAlignment="1">
      <alignment horizontal="center" vertical="center" wrapText="1"/>
    </xf>
    <xf numFmtId="0" fontId="0" fillId="73" borderId="0" xfId="0" applyFill="1" applyAlignment="1">
      <alignment horizontal="center" vertical="center" wrapText="1"/>
    </xf>
    <xf numFmtId="0" fontId="0" fillId="74" borderId="0" xfId="0" applyFill="1" applyAlignment="1">
      <alignment horizontal="center" vertical="center" wrapText="1"/>
    </xf>
    <xf numFmtId="0" fontId="0" fillId="75" borderId="0" xfId="0" applyFill="1" applyAlignment="1">
      <alignment horizontal="center" vertical="center" wrapText="1"/>
    </xf>
    <xf numFmtId="0" fontId="0" fillId="76" borderId="0" xfId="0" applyFill="1" applyAlignment="1">
      <alignment horizontal="center" vertical="center" wrapText="1"/>
    </xf>
    <xf numFmtId="0" fontId="0" fillId="77" borderId="0" xfId="0" applyFill="1" applyAlignment="1">
      <alignment horizontal="center" vertical="center" wrapText="1"/>
    </xf>
    <xf numFmtId="0" fontId="0" fillId="78" borderId="0" xfId="0" applyFill="1" applyAlignment="1">
      <alignment horizontal="center" vertical="center" wrapText="1"/>
    </xf>
    <xf numFmtId="0" fontId="0" fillId="79" borderId="0" xfId="0" applyFill="1" applyAlignment="1">
      <alignment horizontal="center" vertical="center" wrapText="1"/>
    </xf>
    <xf numFmtId="0" fontId="0" fillId="80" borderId="0" xfId="0" applyFill="1" applyAlignment="1">
      <alignment horizontal="center" vertical="center" wrapText="1"/>
    </xf>
    <xf numFmtId="0" fontId="0" fillId="81" borderId="0" xfId="0" applyFill="1" applyAlignment="1">
      <alignment horizontal="center" vertical="center" wrapText="1"/>
    </xf>
    <xf numFmtId="176" fontId="0" fillId="58" borderId="0" xfId="0" applyNumberFormat="1" applyFill="1" applyAlignment="1">
      <alignment horizontal="center" vertical="center"/>
    </xf>
    <xf numFmtId="176" fontId="0" fillId="59" borderId="0" xfId="0" applyNumberFormat="1" applyFill="1" applyAlignment="1">
      <alignment horizontal="center" vertical="center"/>
    </xf>
    <xf numFmtId="176" fontId="0" fillId="60" borderId="0" xfId="0" applyNumberFormat="1" applyFill="1" applyAlignment="1">
      <alignment horizontal="center" vertical="center"/>
    </xf>
    <xf numFmtId="176" fontId="0" fillId="61" borderId="0" xfId="0" applyNumberFormat="1" applyFill="1" applyAlignment="1">
      <alignment horizontal="center" vertical="center"/>
    </xf>
    <xf numFmtId="176" fontId="0" fillId="62" borderId="0" xfId="0" applyNumberFormat="1" applyFill="1" applyAlignment="1">
      <alignment horizontal="center" vertical="center"/>
    </xf>
    <xf numFmtId="176" fontId="0" fillId="63" borderId="0" xfId="0" applyNumberFormat="1" applyFill="1" applyAlignment="1">
      <alignment horizontal="center" vertical="center"/>
    </xf>
    <xf numFmtId="176" fontId="0" fillId="64" borderId="0" xfId="0" applyNumberFormat="1" applyFill="1" applyAlignment="1">
      <alignment horizontal="center" vertical="center"/>
    </xf>
    <xf numFmtId="176" fontId="0" fillId="65" borderId="0" xfId="0" applyNumberFormat="1" applyFill="1" applyAlignment="1">
      <alignment horizontal="center" vertical="center"/>
    </xf>
    <xf numFmtId="176" fontId="0" fillId="66" borderId="0" xfId="0" applyNumberFormat="1" applyFill="1" applyAlignment="1">
      <alignment horizontal="center" vertical="center"/>
    </xf>
    <xf numFmtId="176" fontId="0" fillId="67" borderId="0" xfId="0" applyNumberFormat="1" applyFill="1" applyAlignment="1">
      <alignment horizontal="center" vertical="center"/>
    </xf>
    <xf numFmtId="176" fontId="0" fillId="68" borderId="0" xfId="0" applyNumberFormat="1" applyFill="1" applyAlignment="1">
      <alignment horizontal="center" vertical="center"/>
    </xf>
    <xf numFmtId="176" fontId="0" fillId="69" borderId="0" xfId="0" applyNumberFormat="1" applyFill="1" applyAlignment="1">
      <alignment horizontal="center" vertical="center"/>
    </xf>
    <xf numFmtId="176" fontId="0" fillId="70" borderId="0" xfId="0" applyNumberFormat="1" applyFill="1" applyAlignment="1">
      <alignment horizontal="center" vertical="center"/>
    </xf>
    <xf numFmtId="176" fontId="0" fillId="71" borderId="0" xfId="0" applyNumberFormat="1" applyFill="1" applyAlignment="1">
      <alignment horizontal="center" vertical="center"/>
    </xf>
    <xf numFmtId="176" fontId="0" fillId="72" borderId="0" xfId="0" applyNumberFormat="1" applyFill="1" applyAlignment="1">
      <alignment horizontal="center" vertical="center"/>
    </xf>
    <xf numFmtId="176" fontId="0" fillId="73" borderId="0" xfId="0" applyNumberFormat="1" applyFill="1" applyAlignment="1">
      <alignment horizontal="center" vertical="center"/>
    </xf>
    <xf numFmtId="176" fontId="0" fillId="74" borderId="0" xfId="0" applyNumberFormat="1" applyFill="1" applyAlignment="1">
      <alignment horizontal="center" vertical="center"/>
    </xf>
    <xf numFmtId="176" fontId="0" fillId="75" borderId="0" xfId="0" applyNumberFormat="1" applyFill="1" applyAlignment="1">
      <alignment horizontal="center" vertical="center"/>
    </xf>
    <xf numFmtId="176" fontId="0" fillId="76" borderId="0" xfId="0" applyNumberFormat="1" applyFill="1" applyAlignment="1">
      <alignment horizontal="center" vertical="center"/>
    </xf>
    <xf numFmtId="176" fontId="0" fillId="77" borderId="0" xfId="0" applyNumberFormat="1" applyFill="1" applyAlignment="1">
      <alignment horizontal="center" vertical="center"/>
    </xf>
    <xf numFmtId="176" fontId="0" fillId="78" borderId="0" xfId="0" applyNumberFormat="1" applyFill="1" applyAlignment="1">
      <alignment horizontal="center" vertical="center"/>
    </xf>
    <xf numFmtId="176" fontId="0" fillId="79" borderId="0" xfId="0" applyNumberFormat="1" applyFill="1" applyAlignment="1">
      <alignment horizontal="center" vertical="center"/>
    </xf>
    <xf numFmtId="176" fontId="0" fillId="80" borderId="0" xfId="0" applyNumberFormat="1" applyFill="1" applyAlignment="1">
      <alignment horizontal="center" vertical="center"/>
    </xf>
    <xf numFmtId="176" fontId="0" fillId="81" borderId="0" xfId="0" applyNumberFormat="1" applyFill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0" fontId="0" fillId="33" borderId="17" xfId="0" applyNumberFormat="1" applyFill="1" applyBorder="1" applyAlignment="1">
      <alignment horizontal="center" vertical="center"/>
    </xf>
    <xf numFmtId="176" fontId="0" fillId="33" borderId="17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33" borderId="17" xfId="0" applyNumberFormat="1" applyFill="1" applyBorder="1" applyAlignment="1">
      <alignment horizontal="left" vertical="center"/>
    </xf>
    <xf numFmtId="177" fontId="0" fillId="0" borderId="17" xfId="0" applyNumberFormat="1" applyBorder="1">
      <alignment vertical="center"/>
    </xf>
    <xf numFmtId="0" fontId="27" fillId="33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177" fontId="29" fillId="33" borderId="0" xfId="0" applyNumberFormat="1" applyFont="1" applyFill="1" applyAlignment="1">
      <alignment horizontal="center" vertical="center" wrapText="1"/>
    </xf>
    <xf numFmtId="0" fontId="29" fillId="33" borderId="0" xfId="0" applyFont="1" applyFill="1" applyAlignment="1">
      <alignment horizontal="center" vertical="center"/>
    </xf>
    <xf numFmtId="177" fontId="30" fillId="0" borderId="0" xfId="0" applyNumberFormat="1" applyFont="1" applyAlignment="1">
      <alignment horizontal="left" vertical="center" wrapText="1"/>
    </xf>
    <xf numFmtId="0" fontId="30" fillId="0" borderId="0" xfId="0" applyFont="1">
      <alignment vertical="center"/>
    </xf>
    <xf numFmtId="0" fontId="25" fillId="0" borderId="13" xfId="0" applyFont="1" applyBorder="1" applyAlignment="1">
      <alignment horizontal="left" vertical="center"/>
    </xf>
    <xf numFmtId="0" fontId="21" fillId="0" borderId="14" xfId="0" applyFont="1" applyBorder="1" applyAlignment="1">
      <alignment horizontal="left" vertical="center"/>
    </xf>
    <xf numFmtId="0" fontId="21" fillId="0" borderId="15" xfId="0" applyFont="1" applyBorder="1" applyAlignment="1">
      <alignment horizontal="left" vertical="center"/>
    </xf>
    <xf numFmtId="0" fontId="21" fillId="0" borderId="16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82" borderId="0" xfId="0" applyFill="1" applyAlignment="1">
      <alignment horizontal="left"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2"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0D1D4"/>
      <color rgb="FF8982B2"/>
      <color rgb="FFF3F3F2"/>
      <color rgb="FF343434"/>
      <color rgb="FF555555"/>
      <color rgb="FF7A7A79"/>
      <color rgb="FFA0A0A0"/>
      <color rgb="FFC8C8C8"/>
      <color rgb="FF0885A1"/>
      <color rgb="FFBB56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605292825040182E-2"/>
          <c:y val="2.7413650171012091E-2"/>
          <c:w val="0.89448655654709641"/>
          <c:h val="0.9451726996579757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chemeClr val="tx1">
                  <a:alpha val="60000"/>
                </a:schemeClr>
              </a:solidFill>
              <a:ln w="9525">
                <a:solidFill>
                  <a:schemeClr val="tx1">
                    <a:alpha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853192D-EEEB-46F1-B2AF-209CF76133E5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366-426B-8BC0-D5F1AC2FA2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CBC768-F5A5-4132-9C26-8235F969864B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66-426B-8BC0-D5F1AC2FA2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33F111-FF5A-4022-B37B-9B187FD3F7C6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66-426B-8BC0-D5F1AC2FA2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3865E3-E699-49DC-BEBA-BA6BCC157510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66-426B-8BC0-D5F1AC2FA2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CA5934-CA53-44E9-9042-7E8735EEB93B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66-426B-8BC0-D5F1AC2FA2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AD748E-3DF3-46B2-9EB1-645B4A3FB815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66-426B-8BC0-D5F1AC2FA2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4C60D4-E183-4D57-9025-85302B6ADF31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66-426B-8BC0-D5F1AC2FA2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BB27DF-D0F3-469B-96F5-8A59AB56D261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66-426B-8BC0-D5F1AC2FA2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F7217C-5D8E-42D5-80A2-8321C30280D0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66-426B-8BC0-D5F1AC2FA2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F35058-525F-469E-A3DA-CBDF0B55060B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66-426B-8BC0-D5F1AC2FA2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A264C5-D247-4B71-A804-C9930C327AA3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66-426B-8BC0-D5F1AC2FA2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D5CF01-DD56-4505-9F99-DAA971AD70C5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66-426B-8BC0-D5F1AC2FA2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174E0A8-A298-43DE-A5FA-75EE09677327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66-426B-8BC0-D5F1AC2FA2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A4440E-3A7A-4210-A1D5-889F8FAE5571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66-426B-8BC0-D5F1AC2FA2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9B4851-7355-436C-AEE7-3DD2DF3EAA8B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66-426B-8BC0-D5F1AC2FA2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250281-A177-4697-AB28-F2EB6EE8F512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66-426B-8BC0-D5F1AC2FA2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D25ADA-1A18-43F0-A65C-D05A04880531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66-426B-8BC0-D5F1AC2FA2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A3CB41-DD63-4D32-BE59-6E66A9D07680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66-426B-8BC0-D5F1AC2FA2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66-426B-8BC0-D5F1AC2FA2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66-426B-8BC0-D5F1AC2FA2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66-426B-8BC0-D5F1AC2FA2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66-426B-8BC0-D5F1AC2FA2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66-426B-8BC0-D5F1AC2FA2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66-426B-8BC0-D5F1AC2FA2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'(default)'!$C$116:$C$139</c:f>
              <c:numCache>
                <c:formatCode>0.000_ </c:formatCode>
                <c:ptCount val="24"/>
                <c:pt idx="0">
                  <c:v>14.291148591299235</c:v>
                </c:pt>
                <c:pt idx="1">
                  <c:v>14.872501906295799</c:v>
                </c:pt>
                <c:pt idx="2">
                  <c:v>-0.1968289262999634</c:v>
                </c:pt>
                <c:pt idx="3">
                  <c:v>-15.649847532534123</c:v>
                </c:pt>
                <c:pt idx="4">
                  <c:v>11.264044956711516</c:v>
                </c:pt>
                <c:pt idx="5">
                  <c:v>-30.877013367326846</c:v>
                </c:pt>
                <c:pt idx="6">
                  <c:v>31.258319752582697</c:v>
                </c:pt>
                <c:pt idx="7">
                  <c:v>16.087765839107814</c:v>
                </c:pt>
                <c:pt idx="8">
                  <c:v>45.974479504445107</c:v>
                </c:pt>
                <c:pt idx="9">
                  <c:v>25.117829106865496</c:v>
                </c:pt>
                <c:pt idx="10">
                  <c:v>-27.419683107175132</c:v>
                </c:pt>
                <c:pt idx="11">
                  <c:v>15.186878660562897</c:v>
                </c:pt>
                <c:pt idx="12">
                  <c:v>24.115538606899715</c:v>
                </c:pt>
                <c:pt idx="13">
                  <c:v>-41.534617736447565</c:v>
                </c:pt>
                <c:pt idx="14">
                  <c:v>53.117832958479603</c:v>
                </c:pt>
                <c:pt idx="15">
                  <c:v>-1.2379749296235198</c:v>
                </c:pt>
                <c:pt idx="16">
                  <c:v>49.119319961400784</c:v>
                </c:pt>
                <c:pt idx="17">
                  <c:v>-20.421952115317886</c:v>
                </c:pt>
                <c:pt idx="18">
                  <c:v>-0.34025955357769311</c:v>
                </c:pt>
                <c:pt idx="19">
                  <c:v>1.0246998909169136E-2</c:v>
                </c:pt>
                <c:pt idx="20">
                  <c:v>8.6913170730396061E-3</c:v>
                </c:pt>
                <c:pt idx="21">
                  <c:v>7.1873985809656205E-3</c:v>
                </c:pt>
                <c:pt idx="22">
                  <c:v>3.9838529742042272E-2</c:v>
                </c:pt>
                <c:pt idx="23">
                  <c:v>0.47572653082436633</c:v>
                </c:pt>
              </c:numCache>
            </c:numRef>
          </c:xVal>
          <c:yVal>
            <c:numRef>
              <c:f>'(default)'!$D$116:$D$139</c:f>
              <c:numCache>
                <c:formatCode>0.000_ </c:formatCode>
                <c:ptCount val="24"/>
                <c:pt idx="0">
                  <c:v>14.170062182175446</c:v>
                </c:pt>
                <c:pt idx="1">
                  <c:v>17.376701576444908</c:v>
                </c:pt>
                <c:pt idx="2">
                  <c:v>-23.058034655635005</c:v>
                </c:pt>
                <c:pt idx="3">
                  <c:v>22.912237534611315</c:v>
                </c:pt>
                <c:pt idx="4">
                  <c:v>-24.457195294088628</c:v>
                </c:pt>
                <c:pt idx="5">
                  <c:v>1.4719335292381563</c:v>
                </c:pt>
                <c:pt idx="6">
                  <c:v>57.385058838527989</c:v>
                </c:pt>
                <c:pt idx="7">
                  <c:v>-43.099940836190065</c:v>
                </c:pt>
                <c:pt idx="8">
                  <c:v>14.530270519613309</c:v>
                </c:pt>
                <c:pt idx="9">
                  <c:v>-21.745471572318532</c:v>
                </c:pt>
                <c:pt idx="10">
                  <c:v>57.926980118459667</c:v>
                </c:pt>
                <c:pt idx="11">
                  <c:v>65.762382653039879</c:v>
                </c:pt>
                <c:pt idx="12">
                  <c:v>-50.302872649734354</c:v>
                </c:pt>
                <c:pt idx="13">
                  <c:v>34.033984675639182</c:v>
                </c:pt>
                <c:pt idx="14">
                  <c:v>25.893073453796834</c:v>
                </c:pt>
                <c:pt idx="15">
                  <c:v>79.329707458551084</c:v>
                </c:pt>
                <c:pt idx="16">
                  <c:v>-14.552821261361082</c:v>
                </c:pt>
                <c:pt idx="17">
                  <c:v>-24.103203396857808</c:v>
                </c:pt>
                <c:pt idx="18">
                  <c:v>0.96044510404849071</c:v>
                </c:pt>
                <c:pt idx="19">
                  <c:v>-1.5298747141789804E-3</c:v>
                </c:pt>
                <c:pt idx="20">
                  <c:v>-1.2976117535146159E-3</c:v>
                </c:pt>
                <c:pt idx="21">
                  <c:v>-1.073077048907578E-3</c:v>
                </c:pt>
                <c:pt idx="22">
                  <c:v>-1.3007304285746923</c:v>
                </c:pt>
                <c:pt idx="23">
                  <c:v>-1.2634040445492767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'(default)'!$A$12:$A$29</c15:f>
                <c15:dlblRangeCache>
                  <c:ptCount val="18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366-426B-8BC0-D5F1AC2FA2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>
                  <a:alpha val="60000"/>
                </a:schemeClr>
              </a:solidFill>
              <a:ln w="9525">
                <a:solidFill>
                  <a:schemeClr val="tx1">
                    <a:alpha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B65999-2388-4476-83E7-184B3649AAB9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0DE-4916-8A32-F02D5A333F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6D30EB-08BE-4AAE-82E9-2DDE1E50E1F3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DE-4916-8A32-F02D5A333F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6504A5-39BE-4929-B14E-897950331EAC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DE-4916-8A32-F02D5A333F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9CCA3A-9933-4507-A281-0A82852FBD2E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DE-4916-8A32-F02D5A333F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FF155B-0130-4726-B36E-7AFEC9EF0A8F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DE-4916-8A32-F02D5A333F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9FB6F0-2410-4216-A3A2-B99D0A476289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DE-4916-8A32-F02D5A333F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62F542-1EEA-458D-B846-C4F6C0EFC2BF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DE-4916-8A32-F02D5A333F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9E651C-A9B1-45EE-8637-A2745C31527A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DE-4916-8A32-F02D5A333F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CD5B38-4F85-4BB6-B4F1-0891CB62AEDB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DE-4916-8A32-F02D5A333F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5A1F80-8EB8-46D8-9ACE-3FBE55E1177B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DE-4916-8A32-F02D5A333F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62EE9F-4E57-497D-BDC1-7E68CDA0D71A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DE-4916-8A32-F02D5A333F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2677C3-1FC6-4E65-B888-74FCD85F69A0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DE-4916-8A32-F02D5A333F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6ACDDF-0F93-47D1-87FA-A9E24BDD954E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DE-4916-8A32-F02D5A333F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683323-0C1C-41FF-A972-F3B0E1C87368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DE-4916-8A32-F02D5A333F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F01B47-E5CA-488A-BC4A-B2ED9BBC569D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DE-4916-8A32-F02D5A333F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E35794-3D7E-49E5-90B6-E2C3D6144D54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DE-4916-8A32-F02D5A333F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1C5F2E-EBFE-4C17-B04D-2C64C1C879BB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DE-4916-8A32-F02D5A333F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60C56C-3D65-4AF0-9AFA-ED9F887F80EF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DE-4916-8A32-F02D5A333F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DE-4916-8A32-F02D5A333F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DE-4916-8A32-F02D5A333F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DE-4916-8A32-F02D5A333F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DE-4916-8A32-F02D5A333F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DE-4916-8A32-F02D5A333F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DE-4916-8A32-F02D5A333FD0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'(default)'!$H$116:$H$139</c:f>
              <c:numCache>
                <c:formatCode>0.000_ </c:formatCode>
                <c:ptCount val="24"/>
                <c:pt idx="0">
                  <c:v>15.249170582369464</c:v>
                </c:pt>
                <c:pt idx="1">
                  <c:v>17.229690063179536</c:v>
                </c:pt>
                <c:pt idx="2">
                  <c:v>-3.4869330368044738</c:v>
                </c:pt>
                <c:pt idx="3">
                  <c:v>-18.021784093837589</c:v>
                </c:pt>
                <c:pt idx="4">
                  <c:v>7.7924489922412405</c:v>
                </c:pt>
                <c:pt idx="5">
                  <c:v>-24.356233139366246</c:v>
                </c:pt>
                <c:pt idx="6">
                  <c:v>31.341616153833296</c:v>
                </c:pt>
                <c:pt idx="7">
                  <c:v>6.5552026242087225</c:v>
                </c:pt>
                <c:pt idx="8">
                  <c:v>51.296742882425917</c:v>
                </c:pt>
                <c:pt idx="9">
                  <c:v>25.584712418231376</c:v>
                </c:pt>
                <c:pt idx="10">
                  <c:v>-25.941199025483364</c:v>
                </c:pt>
                <c:pt idx="11">
                  <c:v>8.2945365537319677</c:v>
                </c:pt>
                <c:pt idx="12">
                  <c:v>19.158475268761659</c:v>
                </c:pt>
                <c:pt idx="13">
                  <c:v>-40.118198088890608</c:v>
                </c:pt>
                <c:pt idx="14">
                  <c:v>57.025937022952611</c:v>
                </c:pt>
                <c:pt idx="15">
                  <c:v>-4.1176835500070226</c:v>
                </c:pt>
                <c:pt idx="16">
                  <c:v>48.360823666486475</c:v>
                </c:pt>
                <c:pt idx="17">
                  <c:v>-23.97386006132929</c:v>
                </c:pt>
                <c:pt idx="18">
                  <c:v>-0.30047532435095725</c:v>
                </c:pt>
                <c:pt idx="19">
                  <c:v>-0.63799180203727435</c:v>
                </c:pt>
                <c:pt idx="20">
                  <c:v>-9.1379679816538939E-2</c:v>
                </c:pt>
                <c:pt idx="21">
                  <c:v>0.62863818091096757</c:v>
                </c:pt>
                <c:pt idx="22">
                  <c:v>1.2175904757495137</c:v>
                </c:pt>
                <c:pt idx="23">
                  <c:v>5.8819012300953686</c:v>
                </c:pt>
              </c:numCache>
            </c:numRef>
          </c:xVal>
          <c:yVal>
            <c:numRef>
              <c:f>'(default)'!$I$116:$I$139</c:f>
              <c:numCache>
                <c:formatCode>0.000_ </c:formatCode>
                <c:ptCount val="24"/>
                <c:pt idx="0">
                  <c:v>21.087070525799277</c:v>
                </c:pt>
                <c:pt idx="1">
                  <c:v>20.14727601342916</c:v>
                </c:pt>
                <c:pt idx="2">
                  <c:v>-11.850879127872549</c:v>
                </c:pt>
                <c:pt idx="3">
                  <c:v>35.63173451481947</c:v>
                </c:pt>
                <c:pt idx="4">
                  <c:v>-14.336900525941054</c:v>
                </c:pt>
                <c:pt idx="5">
                  <c:v>5.405613382455754</c:v>
                </c:pt>
                <c:pt idx="6">
                  <c:v>64.920110099283619</c:v>
                </c:pt>
                <c:pt idx="7">
                  <c:v>-34.929164792488329</c:v>
                </c:pt>
                <c:pt idx="8">
                  <c:v>19.397441853037044</c:v>
                </c:pt>
                <c:pt idx="9">
                  <c:v>-19.470933241338606</c:v>
                </c:pt>
                <c:pt idx="10">
                  <c:v>74.032097827139822</c:v>
                </c:pt>
                <c:pt idx="11">
                  <c:v>74.954538351397332</c:v>
                </c:pt>
                <c:pt idx="12">
                  <c:v>-47.307964391982125</c:v>
                </c:pt>
                <c:pt idx="13">
                  <c:v>43.366833012577111</c:v>
                </c:pt>
                <c:pt idx="14">
                  <c:v>37.272501028518292</c:v>
                </c:pt>
                <c:pt idx="15">
                  <c:v>82.240733254741855</c:v>
                </c:pt>
                <c:pt idx="16">
                  <c:v>-12.233277109166153</c:v>
                </c:pt>
                <c:pt idx="17">
                  <c:v>-19.016942839748751</c:v>
                </c:pt>
                <c:pt idx="18">
                  <c:v>7.7591124896864372</c:v>
                </c:pt>
                <c:pt idx="19">
                  <c:v>6.1211362338988717</c:v>
                </c:pt>
                <c:pt idx="20">
                  <c:v>5.1731131239063588</c:v>
                </c:pt>
                <c:pt idx="21">
                  <c:v>4.2535782058029215</c:v>
                </c:pt>
                <c:pt idx="22">
                  <c:v>4.4223025956759869</c:v>
                </c:pt>
                <c:pt idx="23">
                  <c:v>1.5133372031743031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'(default)'!$A$12:$A$29</c15:f>
                <c15:dlblRangeCache>
                  <c:ptCount val="18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4366-426B-8BC0-D5F1AC2FA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123160"/>
        <c:axId val="737123880"/>
      </c:scatterChart>
      <c:valAx>
        <c:axId val="737123160"/>
        <c:scaling>
          <c:orientation val="minMax"/>
          <c:max val="90"/>
          <c:min val="-90"/>
        </c:scaling>
        <c:delete val="1"/>
        <c:axPos val="b"/>
        <c:numFmt formatCode="0.000_ " sourceLinked="1"/>
        <c:majorTickMark val="out"/>
        <c:minorTickMark val="none"/>
        <c:tickLblPos val="nextTo"/>
        <c:crossAx val="737123880"/>
        <c:crosses val="autoZero"/>
        <c:crossBetween val="midCat"/>
      </c:valAx>
      <c:valAx>
        <c:axId val="737123880"/>
        <c:scaling>
          <c:orientation val="minMax"/>
          <c:max val="90"/>
          <c:min val="-90"/>
        </c:scaling>
        <c:delete val="1"/>
        <c:axPos val="l"/>
        <c:numFmt formatCode="0.000_ " sourceLinked="1"/>
        <c:majorTickMark val="out"/>
        <c:minorTickMark val="none"/>
        <c:tickLblPos val="nextTo"/>
        <c:crossAx val="737123160"/>
        <c:crosses val="autoZero"/>
        <c:crossBetween val="midCat"/>
      </c:valAx>
      <c:spPr>
        <a:solidFill>
          <a:schemeClr val="bg1">
            <a:alpha val="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101807</xdr:colOff>
      <xdr:row>10</xdr:row>
      <xdr:rowOff>0</xdr:rowOff>
    </xdr:from>
    <xdr:to>
      <xdr:col>23</xdr:col>
      <xdr:colOff>84670</xdr:colOff>
      <xdr:row>34</xdr:row>
      <xdr:rowOff>190499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E0EDCACB-D3D2-B7F0-BB55-D540011F24C5}"/>
            </a:ext>
          </a:extLst>
        </xdr:cNvPr>
        <xdr:cNvGrpSpPr/>
      </xdr:nvGrpSpPr>
      <xdr:grpSpPr>
        <a:xfrm>
          <a:off x="9626807" y="1968500"/>
          <a:ext cx="5570863" cy="5270499"/>
          <a:chOff x="9626807" y="1968500"/>
          <a:chExt cx="5570863" cy="5270499"/>
        </a:xfrm>
      </xdr:grpSpPr>
      <xdr:pic>
        <xdr:nvPicPr>
          <xdr:cNvPr id="3" name="圖片 2">
            <a:extLst>
              <a:ext uri="{FF2B5EF4-FFF2-40B4-BE49-F238E27FC236}">
                <a16:creationId xmlns:a16="http://schemas.microsoft.com/office/drawing/2014/main" id="{573D9F4F-88B3-C9DD-4EA9-262F66A0F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626807" y="2016319"/>
            <a:ext cx="5345963" cy="5222680"/>
          </a:xfrm>
          <a:prstGeom prst="rect">
            <a:avLst/>
          </a:prstGeom>
        </xdr:spPr>
      </xdr:pic>
      <xdr:graphicFrame macro="">
        <xdr:nvGraphicFramePr>
          <xdr:cNvPr id="9" name="圖表 8">
            <a:extLst>
              <a:ext uri="{FF2B5EF4-FFF2-40B4-BE49-F238E27FC236}">
                <a16:creationId xmlns:a16="http://schemas.microsoft.com/office/drawing/2014/main" id="{C9DC5DCF-D245-4A50-91AD-8BB4BD990925}"/>
              </a:ext>
            </a:extLst>
          </xdr:cNvPr>
          <xdr:cNvGraphicFramePr>
            <a:graphicFrameLocks noChangeAspect="1"/>
          </xdr:cNvGraphicFramePr>
        </xdr:nvGraphicFramePr>
        <xdr:xfrm>
          <a:off x="9726087" y="1968500"/>
          <a:ext cx="5471583" cy="51434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Z248"/>
  <sheetViews>
    <sheetView tabSelected="1" zoomScale="90" zoomScaleNormal="90" workbookViewId="0">
      <selection activeCell="B2" sqref="B2:I6"/>
    </sheetView>
  </sheetViews>
  <sheetFormatPr defaultColWidth="11" defaultRowHeight="16.5" x14ac:dyDescent="0.25"/>
  <cols>
    <col min="1" max="1" width="3.375" customWidth="1"/>
    <col min="2" max="2" width="10.875" style="2" customWidth="1"/>
    <col min="3" max="3" width="10.875" style="2"/>
    <col min="4" max="4" width="10.875" style="2" customWidth="1"/>
    <col min="5" max="6" width="3.375" style="2" customWidth="1"/>
    <col min="7" max="8" width="10.875" style="2"/>
    <col min="9" max="9" width="10.875" style="2" customWidth="1"/>
    <col min="10" max="10" width="3.375" customWidth="1"/>
    <col min="11" max="11" width="10.875" style="2" customWidth="1"/>
    <col min="12" max="13" width="10.875" style="3" customWidth="1"/>
    <col min="14" max="14" width="10.875" style="2" customWidth="1"/>
    <col min="15" max="15" width="3.375" customWidth="1"/>
    <col min="16" max="18" width="10.875" customWidth="1"/>
    <col min="19" max="19" width="3.375" customWidth="1"/>
    <col min="20" max="20" width="5" customWidth="1"/>
    <col min="21" max="21" width="10.875" customWidth="1"/>
    <col min="22" max="23" width="10.875" style="11" customWidth="1"/>
    <col min="25" max="25" width="11" style="1"/>
  </cols>
  <sheetData>
    <row r="1" spans="1:23" ht="15" customHeight="1" x14ac:dyDescent="0.25"/>
    <row r="2" spans="1:23" x14ac:dyDescent="0.25">
      <c r="B2" s="100" t="s">
        <v>80</v>
      </c>
      <c r="C2" s="101"/>
      <c r="D2" s="101"/>
      <c r="E2" s="101"/>
      <c r="F2" s="101"/>
      <c r="G2" s="101"/>
      <c r="H2" s="101"/>
      <c r="I2" s="101"/>
      <c r="K2" s="98" t="s">
        <v>75</v>
      </c>
      <c r="L2" s="99"/>
      <c r="M2" s="99"/>
      <c r="N2" s="99"/>
    </row>
    <row r="3" spans="1:23" ht="15" customHeight="1" x14ac:dyDescent="0.25">
      <c r="B3" s="101"/>
      <c r="C3" s="101"/>
      <c r="D3" s="101"/>
      <c r="E3" s="101"/>
      <c r="F3" s="101"/>
      <c r="G3" s="101"/>
      <c r="H3" s="101"/>
      <c r="I3" s="101"/>
      <c r="K3" s="99"/>
      <c r="L3" s="99"/>
      <c r="M3" s="99"/>
      <c r="N3" s="99"/>
      <c r="R3" s="2"/>
      <c r="S3" s="2"/>
    </row>
    <row r="4" spans="1:23" ht="15" customHeight="1" x14ac:dyDescent="0.25">
      <c r="B4" s="101"/>
      <c r="C4" s="101"/>
      <c r="D4" s="101"/>
      <c r="E4" s="101"/>
      <c r="F4" s="101"/>
      <c r="G4" s="101"/>
      <c r="H4" s="101"/>
      <c r="I4" s="101"/>
      <c r="K4" s="5" t="s">
        <v>15</v>
      </c>
      <c r="L4" s="15"/>
      <c r="M4" s="17">
        <f>AVERAGE(K12:K35)</f>
        <v>6.2121870754995427</v>
      </c>
      <c r="N4" s="44"/>
      <c r="R4" s="2"/>
      <c r="S4" s="2"/>
    </row>
    <row r="5" spans="1:23" ht="15" customHeight="1" x14ac:dyDescent="0.25">
      <c r="B5" s="101"/>
      <c r="C5" s="101"/>
      <c r="D5" s="101"/>
      <c r="E5" s="101"/>
      <c r="F5" s="101"/>
      <c r="G5" s="101"/>
      <c r="H5" s="101"/>
      <c r="I5" s="101"/>
      <c r="K5" s="6" t="s">
        <v>14</v>
      </c>
      <c r="L5" s="16"/>
      <c r="M5" s="17">
        <f>AVERAGE(K116:K139)</f>
        <v>3.967412827077561</v>
      </c>
      <c r="N5" s="44" t="str">
        <f>IF(AVERAGE(L12:L35)&lt;0,"too dark","too bright")</f>
        <v>too bright</v>
      </c>
      <c r="R5" s="2"/>
      <c r="S5" s="2"/>
    </row>
    <row r="6" spans="1:23" ht="15" customHeight="1" x14ac:dyDescent="0.25">
      <c r="B6" s="101"/>
      <c r="C6" s="101"/>
      <c r="D6" s="101"/>
      <c r="E6" s="101"/>
      <c r="F6" s="101"/>
      <c r="G6" s="101"/>
      <c r="H6" s="101"/>
      <c r="I6" s="101"/>
      <c r="K6" s="6" t="s">
        <v>16</v>
      </c>
      <c r="L6" s="16"/>
      <c r="M6" s="17">
        <f>AVERAGE(L90:L113)</f>
        <v>6.2930892042786697</v>
      </c>
      <c r="N6" s="45" t="str">
        <f>IF(AVERAGE(M12:M35)&lt;0,"less saturated","too saturated")</f>
        <v>too saturated</v>
      </c>
      <c r="P6" s="94" t="s">
        <v>83</v>
      </c>
      <c r="Q6" s="94" t="s">
        <v>84</v>
      </c>
      <c r="R6" s="2"/>
      <c r="S6" s="2"/>
    </row>
    <row r="7" spans="1:23" ht="15" customHeight="1" x14ac:dyDescent="0.25">
      <c r="K7" s="6" t="s">
        <v>17</v>
      </c>
      <c r="L7" s="16"/>
      <c r="M7" s="17">
        <f>AVERAGE(N12:N35)</f>
        <v>3.7634342439661914</v>
      </c>
      <c r="N7" s="44"/>
      <c r="P7" s="96">
        <f>B137</f>
        <v>52.012712573031948</v>
      </c>
      <c r="Q7" s="96">
        <f>G137</f>
        <v>54.28488592834259</v>
      </c>
      <c r="R7" s="2"/>
      <c r="S7" s="2"/>
    </row>
    <row r="8" spans="1:23" x14ac:dyDescent="0.25">
      <c r="B8" s="102" t="s">
        <v>76</v>
      </c>
      <c r="C8" s="104" t="s">
        <v>86</v>
      </c>
      <c r="D8" s="105"/>
      <c r="E8" s="105"/>
      <c r="F8" s="105"/>
      <c r="G8" s="105"/>
      <c r="H8" s="105"/>
      <c r="I8" s="105"/>
      <c r="K8" s="106" t="s">
        <v>62</v>
      </c>
      <c r="L8" s="107"/>
      <c r="M8" s="42">
        <f>AVERAGE(N64:N87)/AVERAGE(M64:M87)</f>
        <v>1.0730971334037036</v>
      </c>
      <c r="N8" s="44"/>
      <c r="P8" s="94" t="s">
        <v>81</v>
      </c>
      <c r="Q8" s="94" t="s">
        <v>82</v>
      </c>
    </row>
    <row r="9" spans="1:23" x14ac:dyDescent="0.25">
      <c r="B9" s="103"/>
      <c r="C9" s="105"/>
      <c r="D9" s="105"/>
      <c r="E9" s="105"/>
      <c r="F9" s="105"/>
      <c r="G9" s="105"/>
      <c r="H9" s="105"/>
      <c r="I9" s="105"/>
      <c r="K9" s="108" t="s">
        <v>69</v>
      </c>
      <c r="L9" s="109"/>
      <c r="M9" s="42">
        <f>((G134-G139)/(G134+G139))/((B134-B139)/(B134+B139))</f>
        <v>1.2774642660784084</v>
      </c>
      <c r="N9" s="44"/>
      <c r="P9" s="95">
        <f>(B134-B139)/(B134+B139)</f>
        <v>0.63489884569966415</v>
      </c>
      <c r="Q9" s="95">
        <f>(G134-G139)/(G134+G139)</f>
        <v>0.81106058795575009</v>
      </c>
    </row>
    <row r="10" spans="1:23" ht="15" customHeight="1" x14ac:dyDescent="0.25">
      <c r="B10" s="8"/>
      <c r="C10" s="8"/>
      <c r="D10" s="8"/>
      <c r="E10" s="8"/>
    </row>
    <row r="11" spans="1:23" x14ac:dyDescent="0.25">
      <c r="B11" s="2" t="s">
        <v>63</v>
      </c>
      <c r="C11" s="2" t="s">
        <v>64</v>
      </c>
      <c r="D11" s="2" t="s">
        <v>65</v>
      </c>
      <c r="G11" s="2" t="s">
        <v>66</v>
      </c>
      <c r="H11" s="2" t="s">
        <v>67</v>
      </c>
      <c r="I11" s="2" t="s">
        <v>68</v>
      </c>
      <c r="K11" s="2" t="s">
        <v>57</v>
      </c>
      <c r="L11" s="3" t="s">
        <v>18</v>
      </c>
      <c r="M11" s="3" t="s">
        <v>19</v>
      </c>
      <c r="N11" s="2" t="s">
        <v>20</v>
      </c>
      <c r="P11" s="110"/>
      <c r="Q11" s="110"/>
      <c r="R11" s="110"/>
      <c r="S11" s="110"/>
      <c r="T11" s="110"/>
      <c r="U11" s="110"/>
      <c r="V11" s="110"/>
      <c r="W11" s="110"/>
    </row>
    <row r="12" spans="1:23" x14ac:dyDescent="0.25">
      <c r="A12" s="2">
        <v>1</v>
      </c>
      <c r="B12" s="9">
        <v>116</v>
      </c>
      <c r="C12" s="9">
        <v>78</v>
      </c>
      <c r="D12" s="9">
        <v>65</v>
      </c>
      <c r="E12" s="46"/>
      <c r="F12" s="18"/>
      <c r="G12" s="9">
        <v>137.13</v>
      </c>
      <c r="H12" s="9">
        <v>92.7</v>
      </c>
      <c r="I12" s="9">
        <v>68.739999999999995</v>
      </c>
      <c r="K12" s="1">
        <f t="shared" ref="K12:K35" si="0">SQRT((L12/($P$73*B142))^2+(M12/($Q$73*C142))^2+(N12/($R$73*D142))^2)</f>
        <v>7.7879077295001666</v>
      </c>
      <c r="L12" s="43">
        <f>G116-B116</f>
        <v>6.5441109842133329</v>
      </c>
      <c r="M12" s="43">
        <f>SQRT(H116^2+I116^2)-SQRT(C116^2+D116^2)</f>
        <v>5.8978029811547259</v>
      </c>
      <c r="N12" s="1">
        <f>IF(((C116-H116)^2)+((D116-I116)^2)-(M12^2)&lt;0,0,SQRT(((C116-H116)^2)+((D116-I116)^2)-(M12^2)))</f>
        <v>3.7388140575078466</v>
      </c>
      <c r="P12" s="110"/>
      <c r="Q12" s="110"/>
      <c r="R12" s="110"/>
      <c r="S12" s="111"/>
      <c r="T12" s="110"/>
      <c r="U12" s="110"/>
      <c r="V12" s="110"/>
      <c r="W12" s="110"/>
    </row>
    <row r="13" spans="1:23" x14ac:dyDescent="0.25">
      <c r="A13" s="2">
        <v>2</v>
      </c>
      <c r="B13" s="9">
        <v>197</v>
      </c>
      <c r="C13" s="9">
        <v>150</v>
      </c>
      <c r="D13" s="9">
        <v>130</v>
      </c>
      <c r="E13" s="47"/>
      <c r="F13" s="19"/>
      <c r="G13" s="9">
        <v>216.05</v>
      </c>
      <c r="H13" s="9">
        <v>161.22</v>
      </c>
      <c r="I13" s="9">
        <v>137.76</v>
      </c>
      <c r="K13" s="1">
        <f t="shared" si="0"/>
        <v>5.2125138764143468</v>
      </c>
      <c r="L13" s="43">
        <f t="shared" ref="L13:L35" si="1">G117-B117</f>
        <v>4.8945738514292572</v>
      </c>
      <c r="M13" s="43">
        <f t="shared" ref="M13:M35" si="2">SQRT(H117^2+I117^2)-SQRT(C117^2+D117^2)</f>
        <v>3.637625536790182</v>
      </c>
      <c r="N13" s="1">
        <f t="shared" ref="N13:N35" si="3">IF(((C117-H117)^2)+((D117-I117)^2)-(M13^2)&lt;0,0,SQRT(((C117-H117)^2)+((D117-I117)^2)-(M13^2)))</f>
        <v>9.9585097023668929E-3</v>
      </c>
      <c r="P13" s="110"/>
      <c r="Q13" s="110"/>
      <c r="R13" s="110"/>
      <c r="S13" s="111"/>
      <c r="T13" s="110"/>
      <c r="U13" s="110"/>
      <c r="V13" s="110"/>
      <c r="W13" s="110"/>
    </row>
    <row r="14" spans="1:23" x14ac:dyDescent="0.25">
      <c r="A14" s="2">
        <v>3</v>
      </c>
      <c r="B14" s="9">
        <v>94</v>
      </c>
      <c r="C14" s="9">
        <v>122</v>
      </c>
      <c r="D14" s="9">
        <v>159</v>
      </c>
      <c r="E14" s="48"/>
      <c r="F14" s="20"/>
      <c r="G14" s="9">
        <v>125.96</v>
      </c>
      <c r="H14" s="9">
        <v>147.32</v>
      </c>
      <c r="I14" s="9">
        <v>165.09</v>
      </c>
      <c r="K14" s="1">
        <f t="shared" si="0"/>
        <v>11.432518900719488</v>
      </c>
      <c r="L14" s="43">
        <f t="shared" si="1"/>
        <v>9.5423331143797014</v>
      </c>
      <c r="M14" s="43">
        <f t="shared" si="2"/>
        <v>-10.705654983293135</v>
      </c>
      <c r="N14" s="1">
        <f t="shared" si="3"/>
        <v>4.6705536566991839</v>
      </c>
      <c r="P14" s="110"/>
      <c r="Q14" s="110"/>
      <c r="R14" s="110"/>
      <c r="S14" s="111"/>
      <c r="T14" s="110"/>
      <c r="U14" s="110"/>
      <c r="V14" s="110"/>
      <c r="W14" s="110"/>
    </row>
    <row r="15" spans="1:23" x14ac:dyDescent="0.25">
      <c r="A15" s="2">
        <v>4</v>
      </c>
      <c r="B15" s="9">
        <v>88</v>
      </c>
      <c r="C15" s="9">
        <v>107</v>
      </c>
      <c r="D15" s="9">
        <v>62</v>
      </c>
      <c r="E15" s="49"/>
      <c r="F15" s="21"/>
      <c r="G15" s="9">
        <v>117.67</v>
      </c>
      <c r="H15" s="9">
        <v>135.41999999999999</v>
      </c>
      <c r="I15" s="9">
        <v>64.48</v>
      </c>
      <c r="K15" s="1">
        <f t="shared" si="0"/>
        <v>12.627926471027516</v>
      </c>
      <c r="L15" s="43">
        <f t="shared" si="1"/>
        <v>10.983815990462332</v>
      </c>
      <c r="M15" s="43">
        <f t="shared" si="2"/>
        <v>12.183141733177241</v>
      </c>
      <c r="N15" s="1">
        <f t="shared" si="3"/>
        <v>4.3569190937734401</v>
      </c>
      <c r="P15" s="110"/>
      <c r="Q15" s="110"/>
      <c r="R15" s="110"/>
      <c r="S15" s="111"/>
      <c r="T15" s="110"/>
      <c r="U15" s="110"/>
      <c r="V15" s="110"/>
      <c r="W15" s="110"/>
    </row>
    <row r="16" spans="1:23" x14ac:dyDescent="0.25">
      <c r="A16" s="2">
        <v>5</v>
      </c>
      <c r="B16" s="9">
        <v>133</v>
      </c>
      <c r="C16" s="9">
        <v>131</v>
      </c>
      <c r="D16" s="9">
        <v>178</v>
      </c>
      <c r="E16" s="50"/>
      <c r="F16" s="22"/>
      <c r="G16" s="9">
        <v>160.52000000000001</v>
      </c>
      <c r="H16" s="9">
        <v>155.22999999999999</v>
      </c>
      <c r="I16" s="9">
        <v>184.31</v>
      </c>
      <c r="K16" s="1">
        <f t="shared" si="0"/>
        <v>10.118781388613273</v>
      </c>
      <c r="L16" s="43">
        <f t="shared" si="1"/>
        <v>8.85458552186617</v>
      </c>
      <c r="M16" s="43">
        <f t="shared" si="2"/>
        <v>-10.608688478049846</v>
      </c>
      <c r="N16" s="1">
        <f t="shared" si="3"/>
        <v>1.3885508670602944</v>
      </c>
      <c r="P16" s="110"/>
      <c r="Q16" s="110"/>
      <c r="R16" s="110"/>
      <c r="S16" s="111"/>
      <c r="T16" s="110"/>
      <c r="U16" s="110"/>
      <c r="V16" s="110"/>
      <c r="W16" s="110"/>
    </row>
    <row r="17" spans="1:23" x14ac:dyDescent="0.25">
      <c r="A17" s="2">
        <v>6</v>
      </c>
      <c r="B17" s="9">
        <v>102</v>
      </c>
      <c r="C17" s="9">
        <v>189</v>
      </c>
      <c r="D17" s="9">
        <v>170</v>
      </c>
      <c r="E17" s="51"/>
      <c r="F17" s="23"/>
      <c r="G17" s="9">
        <v>137.66999999999999</v>
      </c>
      <c r="H17" s="9">
        <v>198.09</v>
      </c>
      <c r="I17" s="9">
        <v>174.96</v>
      </c>
      <c r="K17" s="1">
        <f t="shared" si="0"/>
        <v>6.0287197954391472</v>
      </c>
      <c r="L17" s="43">
        <f t="shared" si="1"/>
        <v>4.4332397853909242</v>
      </c>
      <c r="M17" s="43">
        <f t="shared" si="2"/>
        <v>-5.963194904192882</v>
      </c>
      <c r="N17" s="1">
        <f t="shared" si="3"/>
        <v>4.736530217741671</v>
      </c>
      <c r="P17" s="110"/>
      <c r="Q17" s="110"/>
      <c r="R17" s="110"/>
      <c r="S17" s="110"/>
      <c r="T17" s="110"/>
      <c r="U17" s="110"/>
      <c r="V17" s="110"/>
      <c r="W17" s="110"/>
    </row>
    <row r="18" spans="1:23" x14ac:dyDescent="0.25">
      <c r="A18" s="2">
        <v>7</v>
      </c>
      <c r="B18" s="9">
        <v>218</v>
      </c>
      <c r="C18" s="9">
        <v>123</v>
      </c>
      <c r="D18" s="9">
        <v>41</v>
      </c>
      <c r="E18" s="52"/>
      <c r="F18" s="24"/>
      <c r="G18" s="9">
        <v>217.37</v>
      </c>
      <c r="H18" s="9">
        <v>121.24</v>
      </c>
      <c r="I18" s="9">
        <v>14.2</v>
      </c>
      <c r="K18" s="1">
        <f t="shared" si="0"/>
        <v>2.4801264568199586</v>
      </c>
      <c r="L18" s="43">
        <f t="shared" si="1"/>
        <v>-0.58155046059893323</v>
      </c>
      <c r="M18" s="43">
        <f t="shared" si="2"/>
        <v>6.7434368983788318</v>
      </c>
      <c r="N18" s="1">
        <f t="shared" si="3"/>
        <v>3.3630335398653379</v>
      </c>
      <c r="P18" s="110"/>
      <c r="Q18" s="110"/>
      <c r="R18" s="110"/>
      <c r="S18" s="110"/>
      <c r="T18" s="110"/>
      <c r="U18" s="110"/>
      <c r="V18" s="110"/>
      <c r="W18" s="110"/>
    </row>
    <row r="19" spans="1:23" x14ac:dyDescent="0.25">
      <c r="A19" s="2">
        <v>8</v>
      </c>
      <c r="B19" s="9">
        <v>74</v>
      </c>
      <c r="C19" s="9">
        <v>92</v>
      </c>
      <c r="D19" s="9">
        <v>168</v>
      </c>
      <c r="E19" s="53"/>
      <c r="F19" s="25"/>
      <c r="G19" s="9">
        <v>83.49</v>
      </c>
      <c r="H19" s="9">
        <v>112.88</v>
      </c>
      <c r="I19" s="9">
        <v>172.15</v>
      </c>
      <c r="K19" s="1">
        <f t="shared" si="0"/>
        <v>8.5434948845987932</v>
      </c>
      <c r="L19" s="43">
        <f t="shared" si="1"/>
        <v>6.6731622075882626</v>
      </c>
      <c r="M19" s="43">
        <f t="shared" si="2"/>
        <v>-10.46562328980373</v>
      </c>
      <c r="N19" s="1">
        <f t="shared" si="3"/>
        <v>6.9355657129245945</v>
      </c>
      <c r="P19" s="110"/>
      <c r="Q19" s="110"/>
      <c r="R19" s="110"/>
      <c r="S19" s="111"/>
      <c r="T19" s="110"/>
      <c r="U19" s="110"/>
      <c r="V19" s="110"/>
      <c r="W19" s="110"/>
    </row>
    <row r="20" spans="1:23" x14ac:dyDescent="0.25">
      <c r="A20" s="2">
        <v>9</v>
      </c>
      <c r="B20" s="9">
        <v>197</v>
      </c>
      <c r="C20" s="9">
        <v>85</v>
      </c>
      <c r="D20" s="9">
        <v>99</v>
      </c>
      <c r="E20" s="54"/>
      <c r="F20" s="26"/>
      <c r="G20" s="9">
        <v>212.57</v>
      </c>
      <c r="H20" s="9">
        <v>84.7</v>
      </c>
      <c r="I20" s="9">
        <v>96.95</v>
      </c>
      <c r="K20" s="1">
        <f t="shared" si="0"/>
        <v>3.5724026526946719</v>
      </c>
      <c r="L20" s="43">
        <f t="shared" si="1"/>
        <v>2.3790284378484046</v>
      </c>
      <c r="M20" s="43">
        <f t="shared" si="2"/>
        <v>6.625752933730034</v>
      </c>
      <c r="N20" s="1">
        <f t="shared" si="3"/>
        <v>2.8487264373163912</v>
      </c>
      <c r="P20" s="110"/>
      <c r="Q20" s="110"/>
      <c r="R20" s="110"/>
      <c r="S20" s="111"/>
      <c r="T20" s="110"/>
      <c r="U20" s="110"/>
      <c r="V20" s="110"/>
      <c r="W20" s="110"/>
    </row>
    <row r="21" spans="1:23" x14ac:dyDescent="0.25">
      <c r="A21" s="2">
        <v>10</v>
      </c>
      <c r="B21" s="9">
        <v>94</v>
      </c>
      <c r="C21" s="9">
        <v>58</v>
      </c>
      <c r="D21" s="9">
        <v>106</v>
      </c>
      <c r="E21" s="55"/>
      <c r="F21" s="27"/>
      <c r="G21" s="9">
        <v>105.43</v>
      </c>
      <c r="H21" s="9">
        <v>65.59</v>
      </c>
      <c r="I21" s="9">
        <v>111.27</v>
      </c>
      <c r="K21" s="1">
        <f t="shared" si="0"/>
        <v>3.8191220226653351</v>
      </c>
      <c r="L21" s="43">
        <f t="shared" si="1"/>
        <v>3.5371461981427501</v>
      </c>
      <c r="M21" s="43">
        <f t="shared" si="2"/>
        <v>-1.071923683556264</v>
      </c>
      <c r="N21" s="1">
        <f t="shared" si="3"/>
        <v>2.0597291720418212</v>
      </c>
      <c r="P21" s="110"/>
      <c r="Q21" s="110"/>
      <c r="R21" s="110"/>
      <c r="S21" s="111"/>
      <c r="T21" s="110"/>
      <c r="U21" s="110"/>
      <c r="V21" s="110"/>
      <c r="W21" s="110"/>
    </row>
    <row r="22" spans="1:23" x14ac:dyDescent="0.25">
      <c r="A22" s="2">
        <v>11</v>
      </c>
      <c r="B22" s="9">
        <v>159</v>
      </c>
      <c r="C22" s="9">
        <v>188</v>
      </c>
      <c r="D22" s="9">
        <v>62</v>
      </c>
      <c r="E22" s="56"/>
      <c r="F22" s="28"/>
      <c r="G22" s="9">
        <v>172.33</v>
      </c>
      <c r="H22" s="9">
        <v>192.37</v>
      </c>
      <c r="I22" s="9">
        <v>5.31</v>
      </c>
      <c r="K22" s="1">
        <f t="shared" si="0"/>
        <v>5.6525446115120364</v>
      </c>
      <c r="L22" s="43">
        <f t="shared" si="1"/>
        <v>1.9684252393313102</v>
      </c>
      <c r="M22" s="43">
        <f t="shared" si="2"/>
        <v>14.356707245485538</v>
      </c>
      <c r="N22" s="1">
        <f t="shared" si="3"/>
        <v>7.4461861820452819</v>
      </c>
      <c r="P22" s="110"/>
      <c r="Q22" s="110"/>
      <c r="R22" s="110"/>
      <c r="S22" s="111"/>
      <c r="T22" s="110"/>
      <c r="U22" s="110"/>
      <c r="V22" s="110"/>
      <c r="W22" s="110"/>
    </row>
    <row r="23" spans="1:23" x14ac:dyDescent="0.25">
      <c r="A23" s="2">
        <v>12</v>
      </c>
      <c r="B23" s="9">
        <v>230</v>
      </c>
      <c r="C23" s="9">
        <v>163</v>
      </c>
      <c r="D23" s="9">
        <v>46</v>
      </c>
      <c r="E23" s="57"/>
      <c r="F23" s="29"/>
      <c r="G23" s="9">
        <v>222.55</v>
      </c>
      <c r="H23" s="9">
        <v>168.36</v>
      </c>
      <c r="I23" s="9">
        <v>2.69</v>
      </c>
      <c r="K23" s="1">
        <f t="shared" si="0"/>
        <v>4.5926703391404473</v>
      </c>
      <c r="L23" s="43">
        <f t="shared" si="1"/>
        <v>0.36761660012983555</v>
      </c>
      <c r="M23" s="43">
        <f t="shared" si="2"/>
        <v>7.9188807439124247</v>
      </c>
      <c r="N23" s="1">
        <f t="shared" si="3"/>
        <v>8.3241476358923983</v>
      </c>
      <c r="P23" s="110"/>
      <c r="Q23" s="110"/>
      <c r="R23" s="110"/>
      <c r="S23" s="111"/>
      <c r="T23" s="110"/>
      <c r="U23" s="110"/>
      <c r="V23" s="110"/>
      <c r="W23" s="110"/>
    </row>
    <row r="24" spans="1:23" x14ac:dyDescent="0.25">
      <c r="A24" s="2">
        <v>13</v>
      </c>
      <c r="B24" s="9">
        <v>46</v>
      </c>
      <c r="C24" s="9">
        <v>62</v>
      </c>
      <c r="D24" s="9">
        <v>150</v>
      </c>
      <c r="E24" s="58"/>
      <c r="F24" s="30"/>
      <c r="G24" s="9">
        <v>31.79</v>
      </c>
      <c r="H24" s="9">
        <v>60.94</v>
      </c>
      <c r="I24" s="9">
        <v>140.41999999999999</v>
      </c>
      <c r="K24" s="1">
        <f t="shared" si="0"/>
        <v>2.8613929368578934</v>
      </c>
      <c r="L24" s="43">
        <f t="shared" si="1"/>
        <v>-1.7581891419409175</v>
      </c>
      <c r="M24" s="43">
        <f t="shared" si="2"/>
        <v>-4.744659956652356</v>
      </c>
      <c r="N24" s="1">
        <f t="shared" si="3"/>
        <v>3.321167611910691</v>
      </c>
      <c r="P24" s="110"/>
      <c r="Q24" s="110"/>
      <c r="R24" s="110"/>
      <c r="S24" s="110"/>
      <c r="T24" s="110"/>
      <c r="U24" s="110"/>
      <c r="V24" s="110"/>
      <c r="W24" s="110"/>
    </row>
    <row r="25" spans="1:23" x14ac:dyDescent="0.25">
      <c r="A25" s="2">
        <v>14</v>
      </c>
      <c r="B25" s="9">
        <v>69</v>
      </c>
      <c r="C25" s="9">
        <v>150</v>
      </c>
      <c r="D25" s="9">
        <v>71</v>
      </c>
      <c r="E25" s="59"/>
      <c r="F25" s="31"/>
      <c r="G25" s="9">
        <v>87.6</v>
      </c>
      <c r="H25" s="9">
        <v>156.51</v>
      </c>
      <c r="I25" s="9">
        <v>58.74</v>
      </c>
      <c r="K25" s="1">
        <f t="shared" si="0"/>
        <v>5.3229937678972128</v>
      </c>
      <c r="L25" s="43">
        <f t="shared" si="1"/>
        <v>2.7197813994693689</v>
      </c>
      <c r="M25" s="43">
        <f t="shared" si="2"/>
        <v>5.3798682193129252</v>
      </c>
      <c r="N25" s="1">
        <f t="shared" si="3"/>
        <v>7.7566307531748091</v>
      </c>
      <c r="P25" s="110"/>
      <c r="Q25" s="110"/>
      <c r="R25" s="110"/>
      <c r="S25" s="110"/>
      <c r="T25" s="110"/>
      <c r="U25" s="110"/>
      <c r="V25" s="110"/>
      <c r="W25" s="110"/>
    </row>
    <row r="26" spans="1:23" x14ac:dyDescent="0.25">
      <c r="A26" s="2">
        <v>15</v>
      </c>
      <c r="B26" s="9">
        <v>178</v>
      </c>
      <c r="C26" s="9">
        <v>46</v>
      </c>
      <c r="D26" s="9">
        <v>57</v>
      </c>
      <c r="E26" s="60"/>
      <c r="F26" s="32"/>
      <c r="G26" s="9">
        <v>191.98</v>
      </c>
      <c r="H26" s="9">
        <v>45.39</v>
      </c>
      <c r="I26" s="9">
        <v>43.73</v>
      </c>
      <c r="K26" s="1">
        <f t="shared" si="0"/>
        <v>5.4584944003119373</v>
      </c>
      <c r="L26" s="43">
        <f t="shared" si="1"/>
        <v>2.4395579221173875</v>
      </c>
      <c r="M26" s="43">
        <f t="shared" si="2"/>
        <v>9.0335602022759502</v>
      </c>
      <c r="N26" s="1">
        <f t="shared" si="3"/>
        <v>7.9472913233967724</v>
      </c>
      <c r="P26" s="110"/>
      <c r="Q26" s="110"/>
      <c r="R26" s="110"/>
      <c r="S26" s="111"/>
      <c r="T26" s="110"/>
      <c r="U26" s="110"/>
      <c r="V26" s="110"/>
      <c r="W26" s="110"/>
    </row>
    <row r="27" spans="1:23" x14ac:dyDescent="0.25">
      <c r="A27" s="2">
        <v>16</v>
      </c>
      <c r="B27" s="9">
        <v>238</v>
      </c>
      <c r="C27" s="9">
        <v>200</v>
      </c>
      <c r="D27" s="9">
        <v>27</v>
      </c>
      <c r="E27" s="61"/>
      <c r="F27" s="33"/>
      <c r="G27" s="9">
        <v>233.45</v>
      </c>
      <c r="H27" s="9">
        <v>201.21</v>
      </c>
      <c r="I27" s="9">
        <v>0.88</v>
      </c>
      <c r="K27" s="1">
        <f t="shared" si="0"/>
        <v>1.4392742188196979</v>
      </c>
      <c r="L27" s="43">
        <f t="shared" si="1"/>
        <v>-0.15998054656056127</v>
      </c>
      <c r="M27" s="43">
        <f t="shared" si="2"/>
        <v>3.0043857443626791</v>
      </c>
      <c r="N27" s="1">
        <f t="shared" si="3"/>
        <v>2.7821680796582866</v>
      </c>
      <c r="P27" s="110"/>
      <c r="Q27" s="110"/>
      <c r="R27" s="110"/>
      <c r="S27" s="111"/>
      <c r="T27" s="110"/>
      <c r="U27" s="110"/>
      <c r="V27" s="110"/>
      <c r="W27" s="110"/>
    </row>
    <row r="28" spans="1:23" x14ac:dyDescent="0.25">
      <c r="A28" s="2">
        <v>17</v>
      </c>
      <c r="B28" s="9">
        <v>189</v>
      </c>
      <c r="C28" s="9">
        <v>85</v>
      </c>
      <c r="D28" s="9">
        <v>148</v>
      </c>
      <c r="E28" s="62"/>
      <c r="F28" s="34"/>
      <c r="G28" s="9">
        <v>195.5</v>
      </c>
      <c r="H28" s="9">
        <v>91.33</v>
      </c>
      <c r="I28" s="9">
        <v>149.79</v>
      </c>
      <c r="K28" s="1">
        <f t="shared" si="0"/>
        <v>2.4929789961667757</v>
      </c>
      <c r="L28" s="43">
        <f t="shared" si="1"/>
        <v>2.1734566425597848</v>
      </c>
      <c r="M28" s="43">
        <f t="shared" si="2"/>
        <v>-1.3457089791764716</v>
      </c>
      <c r="N28" s="1">
        <f t="shared" si="3"/>
        <v>2.035846027268331</v>
      </c>
      <c r="P28" s="110"/>
      <c r="Q28" s="110"/>
      <c r="R28" s="110"/>
      <c r="S28" s="111"/>
      <c r="T28" s="110"/>
      <c r="U28" s="110"/>
      <c r="V28" s="110"/>
      <c r="W28" s="110"/>
    </row>
    <row r="29" spans="1:23" x14ac:dyDescent="0.25">
      <c r="A29" s="2">
        <v>18</v>
      </c>
      <c r="B29" s="9">
        <v>0</v>
      </c>
      <c r="C29" s="9">
        <v>137</v>
      </c>
      <c r="D29" s="9">
        <v>166</v>
      </c>
      <c r="E29" s="63"/>
      <c r="F29" s="35"/>
      <c r="G29" s="9">
        <v>6.25</v>
      </c>
      <c r="H29" s="9">
        <v>139.15</v>
      </c>
      <c r="I29" s="9">
        <v>158.32</v>
      </c>
      <c r="K29" s="1">
        <f t="shared" si="0"/>
        <v>4.1965350940630248</v>
      </c>
      <c r="L29" s="43">
        <f t="shared" si="1"/>
        <v>0.42278984904167771</v>
      </c>
      <c r="M29" s="43">
        <f t="shared" si="2"/>
        <v>-0.99097160293149145</v>
      </c>
      <c r="N29" s="1">
        <f t="shared" si="3"/>
        <v>6.1240568085155518</v>
      </c>
      <c r="P29" s="110"/>
      <c r="Q29" s="110"/>
      <c r="R29" s="110"/>
      <c r="S29" s="111"/>
      <c r="T29" s="110"/>
      <c r="U29" s="110"/>
      <c r="V29" s="110"/>
      <c r="W29" s="110"/>
    </row>
    <row r="30" spans="1:23" x14ac:dyDescent="0.25">
      <c r="A30" s="2">
        <v>19</v>
      </c>
      <c r="B30" s="9">
        <v>242</v>
      </c>
      <c r="C30" s="9">
        <v>242</v>
      </c>
      <c r="D30" s="9">
        <v>240</v>
      </c>
      <c r="E30" s="64"/>
      <c r="F30" s="36"/>
      <c r="G30" s="9">
        <v>229.5</v>
      </c>
      <c r="H30" s="9">
        <v>223.25</v>
      </c>
      <c r="I30" s="9">
        <v>208.94</v>
      </c>
      <c r="K30" s="1">
        <f t="shared" si="0"/>
        <v>9.126594438091848</v>
      </c>
      <c r="L30" s="43">
        <f t="shared" si="1"/>
        <v>-6.4027735375609893</v>
      </c>
      <c r="M30" s="43">
        <f t="shared" si="2"/>
        <v>6.7459919475692356</v>
      </c>
      <c r="N30" s="1">
        <f t="shared" si="3"/>
        <v>0.84560844884810715</v>
      </c>
      <c r="P30" s="110"/>
      <c r="Q30" s="110"/>
      <c r="R30" s="110"/>
      <c r="S30" s="111"/>
      <c r="T30" s="110"/>
      <c r="U30" s="110"/>
      <c r="V30" s="110"/>
      <c r="W30" s="110"/>
    </row>
    <row r="31" spans="1:23" x14ac:dyDescent="0.25">
      <c r="A31" s="2">
        <v>20</v>
      </c>
      <c r="B31" s="9">
        <v>201</v>
      </c>
      <c r="C31" s="9">
        <v>201</v>
      </c>
      <c r="D31" s="9">
        <v>201</v>
      </c>
      <c r="E31" s="65"/>
      <c r="F31" s="37"/>
      <c r="G31" s="9">
        <v>203.42</v>
      </c>
      <c r="H31" s="9">
        <v>199.56</v>
      </c>
      <c r="I31" s="9">
        <v>188.26</v>
      </c>
      <c r="K31" s="1">
        <f t="shared" si="0"/>
        <v>6.1745738302283053</v>
      </c>
      <c r="L31" s="43">
        <f t="shared" si="1"/>
        <v>-0.50332016859462669</v>
      </c>
      <c r="M31" s="43">
        <f t="shared" si="2"/>
        <v>6.1439340507046625</v>
      </c>
      <c r="N31" s="1">
        <f t="shared" si="3"/>
        <v>0.39915936817662112</v>
      </c>
      <c r="P31" s="110"/>
      <c r="Q31" s="110"/>
      <c r="R31" s="110"/>
      <c r="S31" s="110"/>
      <c r="T31" s="110"/>
      <c r="U31" s="110"/>
      <c r="V31" s="110"/>
      <c r="W31" s="110"/>
    </row>
    <row r="32" spans="1:23" x14ac:dyDescent="0.25">
      <c r="A32" s="2">
        <v>21</v>
      </c>
      <c r="B32" s="9">
        <v>161</v>
      </c>
      <c r="C32" s="9">
        <v>161</v>
      </c>
      <c r="D32" s="9">
        <v>161</v>
      </c>
      <c r="E32" s="66"/>
      <c r="F32" s="38"/>
      <c r="G32" s="9">
        <v>174.42</v>
      </c>
      <c r="H32" s="9">
        <v>170.15</v>
      </c>
      <c r="I32" s="9">
        <v>161.15</v>
      </c>
      <c r="K32" s="1">
        <f t="shared" si="0"/>
        <v>6.2639570471689083</v>
      </c>
      <c r="L32" s="43">
        <f t="shared" si="1"/>
        <v>3.5318171571579029</v>
      </c>
      <c r="M32" s="43">
        <f t="shared" si="2"/>
        <v>5.1651324924886994</v>
      </c>
      <c r="N32" s="1">
        <f t="shared" si="3"/>
        <v>0.32549500882210813</v>
      </c>
      <c r="P32" s="110"/>
      <c r="Q32" s="110"/>
      <c r="R32" s="110"/>
      <c r="S32" s="110"/>
      <c r="T32" s="110"/>
      <c r="U32" s="110"/>
      <c r="V32" s="110"/>
      <c r="W32" s="110"/>
    </row>
    <row r="33" spans="1:26" x14ac:dyDescent="0.25">
      <c r="A33" s="2">
        <v>22</v>
      </c>
      <c r="B33" s="9">
        <v>124</v>
      </c>
      <c r="C33" s="9">
        <v>124</v>
      </c>
      <c r="D33" s="9">
        <v>124</v>
      </c>
      <c r="E33" s="67"/>
      <c r="F33" s="39">
        <v>0.18</v>
      </c>
      <c r="G33" s="9">
        <v>134.13999999999999</v>
      </c>
      <c r="H33" s="9">
        <v>129.16999999999999</v>
      </c>
      <c r="I33" s="9">
        <v>122.54</v>
      </c>
      <c r="K33" s="1">
        <f t="shared" si="0"/>
        <v>4.8619925535519313</v>
      </c>
      <c r="L33" s="43">
        <f t="shared" si="1"/>
        <v>2.2721733553106418</v>
      </c>
      <c r="M33" s="43">
        <f t="shared" si="2"/>
        <v>4.2925135735488276</v>
      </c>
      <c r="N33" s="1">
        <f t="shared" si="3"/>
        <v>0.25017160996076593</v>
      </c>
      <c r="P33" s="110"/>
      <c r="Q33" s="110"/>
      <c r="R33" s="110"/>
      <c r="S33" s="110"/>
      <c r="T33" s="110"/>
      <c r="U33" s="110"/>
      <c r="V33" s="110"/>
      <c r="W33" s="110"/>
    </row>
    <row r="34" spans="1:26" x14ac:dyDescent="0.25">
      <c r="A34" s="2">
        <v>23</v>
      </c>
      <c r="B34" s="9">
        <v>85</v>
      </c>
      <c r="C34" s="9">
        <v>86</v>
      </c>
      <c r="D34" s="9">
        <v>88</v>
      </c>
      <c r="E34" s="68"/>
      <c r="F34" s="40"/>
      <c r="G34" s="9">
        <v>90.86</v>
      </c>
      <c r="H34" s="9">
        <v>84.93</v>
      </c>
      <c r="I34" s="9">
        <v>78.83</v>
      </c>
      <c r="K34" s="1">
        <f t="shared" si="0"/>
        <v>5.6653287640937018</v>
      </c>
      <c r="L34" s="43">
        <f t="shared" si="1"/>
        <v>-4.9493598687988083E-2</v>
      </c>
      <c r="M34" s="43">
        <f t="shared" si="2"/>
        <v>3.2855198657750702</v>
      </c>
      <c r="N34" s="1">
        <f t="shared" si="3"/>
        <v>4.8317249357331615</v>
      </c>
      <c r="P34" s="110"/>
      <c r="Q34" s="110"/>
      <c r="R34" s="110"/>
      <c r="S34" s="110"/>
      <c r="T34" s="110"/>
      <c r="U34" s="110"/>
      <c r="V34" s="110"/>
      <c r="W34" s="110"/>
    </row>
    <row r="35" spans="1:26" x14ac:dyDescent="0.25">
      <c r="A35" s="2">
        <v>24</v>
      </c>
      <c r="B35" s="9">
        <v>51</v>
      </c>
      <c r="C35" s="9">
        <v>51</v>
      </c>
      <c r="D35" s="9">
        <v>53</v>
      </c>
      <c r="E35" s="69"/>
      <c r="F35" s="41"/>
      <c r="G35" s="9">
        <v>34.47</v>
      </c>
      <c r="H35" s="9">
        <v>23.21</v>
      </c>
      <c r="I35" s="9">
        <v>24.21</v>
      </c>
      <c r="K35" s="1">
        <f t="shared" si="0"/>
        <v>13.359644635592558</v>
      </c>
      <c r="L35" s="43">
        <f t="shared" si="1"/>
        <v>-12.024986139478401</v>
      </c>
      <c r="M35" s="43">
        <f t="shared" si="2"/>
        <v>4.7234608563648557</v>
      </c>
      <c r="N35" s="1">
        <f t="shared" si="3"/>
        <v>3.8243867971527674</v>
      </c>
      <c r="P35" s="110"/>
      <c r="Q35" s="110"/>
      <c r="R35" s="110"/>
      <c r="S35" s="110"/>
      <c r="T35" s="110"/>
      <c r="U35" s="110"/>
      <c r="V35" s="110"/>
      <c r="W35" s="110"/>
    </row>
    <row r="37" spans="1:26" x14ac:dyDescent="0.25">
      <c r="B37" s="2" t="s">
        <v>50</v>
      </c>
      <c r="C37" s="2" t="s">
        <v>51</v>
      </c>
      <c r="D37" s="2" t="s">
        <v>52</v>
      </c>
      <c r="G37" s="2" t="s">
        <v>53</v>
      </c>
      <c r="H37" s="2" t="s">
        <v>54</v>
      </c>
      <c r="I37" s="2" t="s">
        <v>55</v>
      </c>
      <c r="K37" s="2" t="s">
        <v>85</v>
      </c>
      <c r="L37" s="2" t="s">
        <v>45</v>
      </c>
      <c r="O37" s="7"/>
      <c r="P37" s="9" t="s">
        <v>72</v>
      </c>
      <c r="Q37" s="9" t="s">
        <v>73</v>
      </c>
      <c r="R37" s="9" t="s">
        <v>74</v>
      </c>
      <c r="S37" s="9"/>
      <c r="T37" s="12"/>
      <c r="U37" s="10" t="s">
        <v>70</v>
      </c>
      <c r="V37" s="1" t="s">
        <v>19</v>
      </c>
      <c r="W37" s="2" t="s">
        <v>71</v>
      </c>
    </row>
    <row r="38" spans="1:26" x14ac:dyDescent="0.25">
      <c r="B38" s="1">
        <f t="shared" ref="B38:D61" si="4">IF((B12/255)&lt;=0.04045, (B12/255)/12.92, (((B12/255)+0.055)/1.055)^2.4)</f>
        <v>0.17464740365558501</v>
      </c>
      <c r="C38" s="1">
        <f t="shared" si="4"/>
        <v>7.6185381481307851E-2</v>
      </c>
      <c r="D38" s="1">
        <f t="shared" si="4"/>
        <v>5.2860647023180267E-2</v>
      </c>
      <c r="E38" s="70"/>
      <c r="F38" s="18"/>
      <c r="G38" s="1">
        <f t="shared" ref="G38:I61" si="5">IF((G12/255)&lt;=0.04045, (G12/255)/12.92, (((G12/255)+0.055)/1.055)^2.4)</f>
        <v>0.25067539394253818</v>
      </c>
      <c r="H38" s="1">
        <f t="shared" si="5"/>
        <v>0.10872676242876896</v>
      </c>
      <c r="I38" s="1">
        <f t="shared" si="5"/>
        <v>5.9064943160789619E-2</v>
      </c>
      <c r="K38" s="1">
        <f t="shared" ref="K38:K61" si="6">B12*$P$81+C12*$Q$81+D12*$R$81</f>
        <v>87.88</v>
      </c>
      <c r="L38" s="1">
        <f t="shared" ref="L38:L61" si="7">G12*$P$81+H12*$Q$81+I12*$R$81</f>
        <v>103.25312999999998</v>
      </c>
      <c r="O38" s="7"/>
      <c r="P38" s="9">
        <f>VLOOKUP($U38,$K$90:$Q$113,4,0)</f>
        <v>51</v>
      </c>
      <c r="Q38" s="9">
        <f>VLOOKUP($U38,$K$90:$Q$113,6,0)</f>
        <v>51</v>
      </c>
      <c r="R38" s="9">
        <f>VLOOKUP($U38,$K$90:$Q$113,7,0)</f>
        <v>53</v>
      </c>
      <c r="S38" s="53"/>
      <c r="T38" s="13" t="str">
        <f>"E"&amp;MATCH(LARGE($K$12:$K$35,1),$K$12:$K$35,0)+11</f>
        <v>E35</v>
      </c>
      <c r="U38" s="3">
        <f>LARGE(K12:K35,1)</f>
        <v>13.359644635592558</v>
      </c>
      <c r="V38" s="1">
        <f>ABS(VLOOKUP($U38,$K$12:$Q$35,3,0))</f>
        <v>4.7234608563648557</v>
      </c>
      <c r="W38" s="1">
        <f>VLOOKUP($U38,$K$12:$Q$35,4,0)</f>
        <v>3.8243867971527674</v>
      </c>
    </row>
    <row r="39" spans="1:26" x14ac:dyDescent="0.25">
      <c r="B39" s="1">
        <f t="shared" si="4"/>
        <v>0.5583403896342678</v>
      </c>
      <c r="C39" s="1">
        <f t="shared" si="4"/>
        <v>0.30498731406988622</v>
      </c>
      <c r="D39" s="1">
        <f t="shared" si="4"/>
        <v>0.2232279573168085</v>
      </c>
      <c r="E39" s="71"/>
      <c r="F39" s="19"/>
      <c r="G39" s="1">
        <f t="shared" si="5"/>
        <v>0.6870435986040504</v>
      </c>
      <c r="H39" s="1">
        <f t="shared" si="5"/>
        <v>0.35747624686248552</v>
      </c>
      <c r="I39" s="1">
        <f t="shared" si="5"/>
        <v>0.2531902139443547</v>
      </c>
      <c r="K39" s="1">
        <f t="shared" si="6"/>
        <v>161.773</v>
      </c>
      <c r="L39" s="1">
        <f t="shared" si="7"/>
        <v>174.93973000000003</v>
      </c>
      <c r="O39" s="7"/>
      <c r="P39" s="9">
        <f>VLOOKUP($U39,$K$90:$Q$113,4,0)</f>
        <v>88</v>
      </c>
      <c r="Q39" s="9">
        <f>VLOOKUP($U39,$K$90:$Q$113,6,0)</f>
        <v>107</v>
      </c>
      <c r="R39" s="9">
        <f>VLOOKUP($U39,$K$90:$Q$113,7,0)</f>
        <v>62</v>
      </c>
      <c r="S39" s="58"/>
      <c r="T39" s="13" t="str">
        <f>"E"&amp;MATCH(LARGE($K$12:$K$35,2),$K$12:$K$35,0)+11</f>
        <v>E15</v>
      </c>
      <c r="U39" s="3">
        <f>LARGE(K12:K35,2)</f>
        <v>12.627926471027516</v>
      </c>
      <c r="V39" s="1">
        <f>ABS(VLOOKUP($U39,$K$12:$Q$35,3,0))</f>
        <v>12.183141733177241</v>
      </c>
      <c r="W39" s="1">
        <f>VLOOKUP($U39,$K$12:$Q$35,4,0)</f>
        <v>4.3569190937734401</v>
      </c>
    </row>
    <row r="40" spans="1:26" x14ac:dyDescent="0.25">
      <c r="B40" s="1">
        <f t="shared" si="4"/>
        <v>0.11193242783690559</v>
      </c>
      <c r="C40" s="1">
        <f t="shared" si="4"/>
        <v>0.19461783044157577</v>
      </c>
      <c r="D40" s="1">
        <f t="shared" si="4"/>
        <v>0.3467040563550296</v>
      </c>
      <c r="E40" s="72"/>
      <c r="F40" s="20"/>
      <c r="G40" s="1">
        <f t="shared" si="5"/>
        <v>0.20849385900743192</v>
      </c>
      <c r="H40" s="1">
        <f t="shared" si="5"/>
        <v>0.29316417042930032</v>
      </c>
      <c r="I40" s="1">
        <f t="shared" si="5"/>
        <v>0.37671625632880851</v>
      </c>
      <c r="K40" s="1">
        <f t="shared" si="6"/>
        <v>117.84599999999999</v>
      </c>
      <c r="L40" s="1">
        <f t="shared" si="7"/>
        <v>142.95913999999999</v>
      </c>
      <c r="O40" s="7"/>
      <c r="P40" s="9">
        <f>VLOOKUP($U40,$K$90:$Q$113,4,0)</f>
        <v>94</v>
      </c>
      <c r="Q40" s="9">
        <f>VLOOKUP($U40,$K$90:$Q$113,6,0)</f>
        <v>122</v>
      </c>
      <c r="R40" s="9">
        <f>VLOOKUP($U40,$K$90:$Q$113,7,0)</f>
        <v>159</v>
      </c>
      <c r="S40" s="57"/>
      <c r="T40" s="13" t="str">
        <f>"E"&amp;MATCH(LARGE($K$12:$K$35,3),$K$12:$K$35,0)+11</f>
        <v>E14</v>
      </c>
      <c r="U40" s="3">
        <f>LARGE(K12:K35,3)</f>
        <v>11.432518900719488</v>
      </c>
      <c r="V40" s="1">
        <f>ABS(VLOOKUP($U40,$K$12:$Q$35,3,0))</f>
        <v>10.705654983293135</v>
      </c>
      <c r="W40" s="1">
        <f>VLOOKUP($U40,$K$12:$Q$35,4,0)</f>
        <v>4.6705536566991839</v>
      </c>
    </row>
    <row r="41" spans="1:26" x14ac:dyDescent="0.25">
      <c r="B41" s="1">
        <f t="shared" si="4"/>
        <v>9.7587347141862429E-2</v>
      </c>
      <c r="C41" s="1">
        <f t="shared" si="4"/>
        <v>0.14702726649759501</v>
      </c>
      <c r="D41" s="1">
        <f t="shared" si="4"/>
        <v>4.8171824226889426E-2</v>
      </c>
      <c r="E41" s="73"/>
      <c r="F41" s="21"/>
      <c r="G41" s="1">
        <f t="shared" si="5"/>
        <v>0.18007936548411468</v>
      </c>
      <c r="H41" s="1">
        <f t="shared" si="5"/>
        <v>0.2439231379267002</v>
      </c>
      <c r="I41" s="1">
        <f t="shared" si="5"/>
        <v>5.2029688629394368E-2</v>
      </c>
      <c r="K41" s="1">
        <f t="shared" si="6"/>
        <v>96.188999999999993</v>
      </c>
      <c r="L41" s="1">
        <f t="shared" si="7"/>
        <v>122.02558999999998</v>
      </c>
      <c r="O41" s="7"/>
      <c r="P41" s="9">
        <f>VLOOKUP($U41,$K$90:$Q$113,4,0)</f>
        <v>133</v>
      </c>
      <c r="Q41" s="9">
        <f>VLOOKUP($U41,$K$90:$Q$113,6,0)</f>
        <v>131</v>
      </c>
      <c r="R41" s="9">
        <f>VLOOKUP($U41,$K$90:$Q$113,7,0)</f>
        <v>178</v>
      </c>
      <c r="S41" s="69"/>
      <c r="T41" s="13" t="str">
        <f>"E"&amp;MATCH(LARGE($K$12:$K$35,4),$K$12:$K$35,0)+11</f>
        <v>E16</v>
      </c>
      <c r="U41" s="3">
        <f>LARGE(K12:K35,4)</f>
        <v>10.118781388613273</v>
      </c>
      <c r="V41" s="1">
        <f>ABS(VLOOKUP($U41,$K$12:$Q$35,3,0))</f>
        <v>10.608688478049846</v>
      </c>
      <c r="W41" s="1">
        <f>VLOOKUP($U41,$K$12:$Q$35,4,0)</f>
        <v>1.3885508670602944</v>
      </c>
    </row>
    <row r="42" spans="1:26" x14ac:dyDescent="0.25">
      <c r="B42" s="1">
        <f t="shared" si="4"/>
        <v>0.23455058216100524</v>
      </c>
      <c r="C42" s="1">
        <f t="shared" si="4"/>
        <v>0.22696587351009834</v>
      </c>
      <c r="D42" s="1">
        <f t="shared" si="4"/>
        <v>0.44520119451622792</v>
      </c>
      <c r="E42" s="74"/>
      <c r="F42" s="22"/>
      <c r="G42" s="1">
        <f t="shared" si="5"/>
        <v>0.35405884966293577</v>
      </c>
      <c r="H42" s="1">
        <f t="shared" si="5"/>
        <v>0.32884957200717196</v>
      </c>
      <c r="I42" s="1">
        <f t="shared" si="5"/>
        <v>0.48112301144677516</v>
      </c>
      <c r="K42" s="1">
        <f t="shared" si="6"/>
        <v>136.95599999999999</v>
      </c>
      <c r="L42" s="1">
        <f t="shared" si="7"/>
        <v>160.12682999999998</v>
      </c>
      <c r="O42" s="7"/>
      <c r="P42" s="9">
        <f>VLOOKUP($U42,$K$90:$Q$113,4,0)</f>
        <v>242</v>
      </c>
      <c r="Q42" s="9">
        <f>VLOOKUP($U42,$K$90:$Q$113,6,0)</f>
        <v>242</v>
      </c>
      <c r="R42" s="9">
        <f>VLOOKUP($U42,$K$90:$Q$113,7,0)</f>
        <v>240</v>
      </c>
      <c r="S42" s="56"/>
      <c r="T42" s="13" t="str">
        <f>"E"&amp;MATCH(LARGE($K$12:$K$35,5),$K$12:$K$35,0)+11</f>
        <v>E30</v>
      </c>
      <c r="U42" s="3">
        <f>LARGE(K12:K35,5)</f>
        <v>9.126594438091848</v>
      </c>
      <c r="V42" s="1">
        <f>ABS(VLOOKUP($U42,$K$12:$Q$35,3,0))</f>
        <v>6.7459919475692356</v>
      </c>
      <c r="W42" s="1">
        <f>VLOOKUP($U42,$K$12:$Q$35,4,0)</f>
        <v>0.84560844884810715</v>
      </c>
    </row>
    <row r="43" spans="1:26" x14ac:dyDescent="0.25">
      <c r="B43" s="1">
        <f t="shared" si="4"/>
        <v>0.13286832155381798</v>
      </c>
      <c r="C43" s="1">
        <f t="shared" si="4"/>
        <v>0.50888132085493376</v>
      </c>
      <c r="D43" s="1">
        <f t="shared" si="4"/>
        <v>0.40197777983219574</v>
      </c>
      <c r="E43" s="75"/>
      <c r="F43" s="23"/>
      <c r="G43" s="1">
        <f t="shared" si="5"/>
        <v>0.25283005721798441</v>
      </c>
      <c r="H43" s="1">
        <f t="shared" si="5"/>
        <v>0.5652869752537798</v>
      </c>
      <c r="I43" s="1">
        <f t="shared" si="5"/>
        <v>0.42847281010830279</v>
      </c>
      <c r="K43" s="1">
        <f t="shared" si="6"/>
        <v>160.821</v>
      </c>
      <c r="L43" s="1">
        <f t="shared" si="7"/>
        <v>177.38759999999999</v>
      </c>
      <c r="O43" s="7"/>
      <c r="T43" s="11"/>
      <c r="V43" s="1"/>
      <c r="W43"/>
    </row>
    <row r="44" spans="1:26" x14ac:dyDescent="0.25">
      <c r="B44" s="1">
        <f t="shared" si="4"/>
        <v>0.70110189193297312</v>
      </c>
      <c r="C44" s="1">
        <f t="shared" si="4"/>
        <v>0.19806931955994886</v>
      </c>
      <c r="D44" s="1">
        <f t="shared" si="4"/>
        <v>2.2173884793387392E-2</v>
      </c>
      <c r="E44" s="76"/>
      <c r="F44" s="24"/>
      <c r="G44" s="1">
        <f t="shared" si="5"/>
        <v>0.69654181449271779</v>
      </c>
      <c r="H44" s="1">
        <f t="shared" si="5"/>
        <v>0.19201834061685416</v>
      </c>
      <c r="I44" s="1">
        <f t="shared" si="5"/>
        <v>4.4670328401217466E-3</v>
      </c>
      <c r="K44" s="1">
        <f t="shared" si="6"/>
        <v>142.05699999999999</v>
      </c>
      <c r="L44" s="1">
        <f t="shared" si="7"/>
        <v>137.78030999999999</v>
      </c>
      <c r="O44" s="7"/>
      <c r="P44" s="9" t="s">
        <v>72</v>
      </c>
      <c r="Q44" s="9" t="s">
        <v>73</v>
      </c>
      <c r="R44" s="9" t="s">
        <v>74</v>
      </c>
      <c r="S44" s="9"/>
      <c r="T44" s="12"/>
      <c r="U44" s="1" t="s">
        <v>19</v>
      </c>
      <c r="V44" s="1"/>
      <c r="W44"/>
      <c r="Z44" s="2"/>
    </row>
    <row r="45" spans="1:26" x14ac:dyDescent="0.25">
      <c r="B45" s="1">
        <f t="shared" si="4"/>
        <v>6.8478169844400194E-2</v>
      </c>
      <c r="C45" s="1">
        <f t="shared" si="4"/>
        <v>0.10702310297826761</v>
      </c>
      <c r="D45" s="1">
        <f t="shared" si="4"/>
        <v>0.39157247774972326</v>
      </c>
      <c r="E45" s="77"/>
      <c r="F45" s="25"/>
      <c r="G45" s="1">
        <f t="shared" si="5"/>
        <v>8.7552607349762585E-2</v>
      </c>
      <c r="H45" s="1">
        <f t="shared" si="5"/>
        <v>0.164758042748575</v>
      </c>
      <c r="I45" s="1">
        <f t="shared" si="5"/>
        <v>0.4133414264278833</v>
      </c>
      <c r="K45" s="1">
        <f t="shared" si="6"/>
        <v>95.281999999999996</v>
      </c>
      <c r="L45" s="1">
        <f t="shared" si="7"/>
        <v>110.84917</v>
      </c>
      <c r="O45" s="7"/>
      <c r="P45" s="9">
        <f>VLOOKUP($U45,$L$90:$Q$113,3,0)</f>
        <v>159</v>
      </c>
      <c r="Q45" s="9">
        <f>VLOOKUP($U45,$L$90:$Q$113,5,0)</f>
        <v>188</v>
      </c>
      <c r="R45" s="9">
        <f>VLOOKUP($U45,$L$90:$Q$113,6,0)</f>
        <v>62</v>
      </c>
      <c r="S45" s="53"/>
      <c r="T45" s="13" t="str">
        <f>"E"&amp;MATCH(LARGE($L$90:$L$113,1),$L$90:$L$113,0)+11</f>
        <v>E22</v>
      </c>
      <c r="U45" s="3">
        <f>LARGE($L$90:$L$113,1)</f>
        <v>14.356707245485538</v>
      </c>
      <c r="V45" s="1"/>
      <c r="W45"/>
      <c r="Z45" s="1"/>
    </row>
    <row r="46" spans="1:26" x14ac:dyDescent="0.25">
      <c r="B46" s="1">
        <f t="shared" si="4"/>
        <v>0.5583403896342678</v>
      </c>
      <c r="C46" s="1">
        <f t="shared" si="4"/>
        <v>9.084171118340767E-2</v>
      </c>
      <c r="D46" s="1">
        <f t="shared" si="4"/>
        <v>0.12477181756095049</v>
      </c>
      <c r="E46" s="78"/>
      <c r="F46" s="26"/>
      <c r="G46" s="1">
        <f t="shared" si="5"/>
        <v>0.66236661998313739</v>
      </c>
      <c r="H46" s="1">
        <f t="shared" si="5"/>
        <v>9.0182611127216164E-2</v>
      </c>
      <c r="I46" s="1">
        <f t="shared" si="5"/>
        <v>0.11940926708248674</v>
      </c>
      <c r="K46" s="1">
        <f t="shared" si="6"/>
        <v>120.084</v>
      </c>
      <c r="L46" s="1">
        <f t="shared" si="7"/>
        <v>124.32962999999999</v>
      </c>
      <c r="O46" s="7"/>
      <c r="P46" s="9">
        <f>VLOOKUP($U46,$L$90:$Q$113,3,0)</f>
        <v>88</v>
      </c>
      <c r="Q46" s="9">
        <f>VLOOKUP($U46,$L$90:$Q$113,5,0)</f>
        <v>107</v>
      </c>
      <c r="R46" s="9">
        <f>VLOOKUP($U46,$L$90:$Q$113,6,0)</f>
        <v>62</v>
      </c>
      <c r="S46" s="58"/>
      <c r="T46" s="13" t="str">
        <f>"E"&amp;MATCH(LARGE($L$90:$L$113,2),$L$90:$L$113,0)+11</f>
        <v>E15</v>
      </c>
      <c r="U46" s="3">
        <f>LARGE($L$90:$L$113,2)</f>
        <v>12.183141733177241</v>
      </c>
      <c r="V46" s="1"/>
      <c r="W46"/>
      <c r="Z46" s="1"/>
    </row>
    <row r="47" spans="1:26" x14ac:dyDescent="0.25">
      <c r="B47" s="1">
        <f t="shared" si="4"/>
        <v>0.11193242783690559</v>
      </c>
      <c r="C47" s="1">
        <f t="shared" si="4"/>
        <v>4.2311410620809675E-2</v>
      </c>
      <c r="D47" s="1">
        <f t="shared" si="4"/>
        <v>0.14412847085805777</v>
      </c>
      <c r="E47" s="79"/>
      <c r="F47" s="27"/>
      <c r="G47" s="1">
        <f t="shared" si="5"/>
        <v>0.14249120597783996</v>
      </c>
      <c r="H47" s="1">
        <f t="shared" si="5"/>
        <v>5.3812779251374489E-2</v>
      </c>
      <c r="I47" s="1">
        <f t="shared" si="5"/>
        <v>0.15978596908055648</v>
      </c>
      <c r="K47" s="1">
        <f t="shared" si="6"/>
        <v>74.236000000000004</v>
      </c>
      <c r="L47" s="1">
        <f t="shared" si="7"/>
        <v>82.709680000000006</v>
      </c>
      <c r="O47" s="7"/>
      <c r="P47" s="9">
        <f>VLOOKUP($U47,$L$90:$Q$113,3,0)</f>
        <v>94</v>
      </c>
      <c r="Q47" s="9">
        <f>VLOOKUP($U47,$L$90:$Q$113,5,0)</f>
        <v>122</v>
      </c>
      <c r="R47" s="9">
        <f>VLOOKUP($U47,$L$90:$Q$113,6,0)</f>
        <v>159</v>
      </c>
      <c r="S47" s="62"/>
      <c r="T47" s="13" t="str">
        <f>"E"&amp;MATCH(LARGE($L$90:$L$113,3),$L$90:$L$113,0)+11</f>
        <v>E14</v>
      </c>
      <c r="U47" s="3">
        <f>LARGE($L$90:$L$113,3)</f>
        <v>10.705654983293135</v>
      </c>
      <c r="V47" s="1"/>
      <c r="W47"/>
      <c r="Z47" s="1"/>
    </row>
    <row r="48" spans="1:26" x14ac:dyDescent="0.25">
      <c r="B48" s="1">
        <f t="shared" si="4"/>
        <v>0.3467040563550296</v>
      </c>
      <c r="C48" s="1">
        <f t="shared" si="4"/>
        <v>0.50288645803256871</v>
      </c>
      <c r="D48" s="1">
        <f t="shared" si="4"/>
        <v>4.8171824226889426E-2</v>
      </c>
      <c r="E48" s="80"/>
      <c r="F48" s="28"/>
      <c r="G48" s="1">
        <f t="shared" si="5"/>
        <v>0.41430119202723881</v>
      </c>
      <c r="H48" s="1">
        <f t="shared" si="5"/>
        <v>0.52938993122555855</v>
      </c>
      <c r="I48" s="1">
        <f t="shared" si="5"/>
        <v>1.6117282826443272E-3</v>
      </c>
      <c r="K48" s="1">
        <f t="shared" si="6"/>
        <v>164.965</v>
      </c>
      <c r="L48" s="1">
        <f t="shared" si="7"/>
        <v>165.0532</v>
      </c>
      <c r="O48" s="7"/>
      <c r="P48" s="9">
        <f>VLOOKUP($U48,$L$90:$Q$113,3,0)</f>
        <v>133</v>
      </c>
      <c r="Q48" s="9">
        <f>VLOOKUP($U48,$L$90:$Q$113,5,0)</f>
        <v>131</v>
      </c>
      <c r="R48" s="9">
        <f>VLOOKUP($U48,$L$90:$Q$113,6,0)</f>
        <v>178</v>
      </c>
      <c r="S48" s="50"/>
      <c r="T48" s="13" t="str">
        <f>"E"&amp;MATCH(LARGE($L$90:$L$113,4),$L$90:$L$113,0)+11</f>
        <v>E16</v>
      </c>
      <c r="U48" s="3">
        <f>LARGE($L$90:$L$113,4)</f>
        <v>10.608688478049846</v>
      </c>
      <c r="V48" s="1"/>
      <c r="W48"/>
      <c r="Z48" s="1"/>
    </row>
    <row r="49" spans="2:26" x14ac:dyDescent="0.25">
      <c r="B49" s="1">
        <f t="shared" si="4"/>
        <v>0.79129794033263023</v>
      </c>
      <c r="C49" s="1">
        <f t="shared" si="4"/>
        <v>0.36625259559883949</v>
      </c>
      <c r="D49" s="1">
        <f t="shared" si="4"/>
        <v>2.7320891639074901E-2</v>
      </c>
      <c r="E49" s="81"/>
      <c r="F49" s="29"/>
      <c r="G49" s="1">
        <f t="shared" si="5"/>
        <v>0.73455260097601882</v>
      </c>
      <c r="H49" s="1">
        <f t="shared" si="5"/>
        <v>0.39343368978697035</v>
      </c>
      <c r="I49" s="1">
        <f t="shared" si="5"/>
        <v>8.1648758574637281E-4</v>
      </c>
      <c r="K49" s="1">
        <f t="shared" si="6"/>
        <v>169.69499999999999</v>
      </c>
      <c r="L49" s="1">
        <f t="shared" si="7"/>
        <v>165.67643000000001</v>
      </c>
      <c r="O49" s="7"/>
      <c r="P49" s="9">
        <f>VLOOKUP($U49,$L$90:$Q$113,3,0)</f>
        <v>74</v>
      </c>
      <c r="Q49" s="9">
        <f>VLOOKUP($U49,$L$90:$Q$113,5,0)</f>
        <v>92</v>
      </c>
      <c r="R49" s="9">
        <f>VLOOKUP($U49,$L$90:$Q$113,6,0)</f>
        <v>168</v>
      </c>
      <c r="S49" s="48"/>
      <c r="T49" s="13" t="str">
        <f>"E"&amp;MATCH(LARGE($L$90:$L$113,5),$L$90:$L$113,0)+11</f>
        <v>E19</v>
      </c>
      <c r="U49" s="3">
        <f>LARGE($L$90:$L$113,5)</f>
        <v>10.46562328980373</v>
      </c>
      <c r="V49" s="1"/>
      <c r="W49"/>
      <c r="Z49" s="1"/>
    </row>
    <row r="50" spans="2:26" x14ac:dyDescent="0.25">
      <c r="B50" s="1">
        <f t="shared" si="4"/>
        <v>2.7320891639074901E-2</v>
      </c>
      <c r="C50" s="1">
        <f t="shared" si="4"/>
        <v>4.8171824226889426E-2</v>
      </c>
      <c r="D50" s="1">
        <f t="shared" si="4"/>
        <v>0.30498731406988622</v>
      </c>
      <c r="E50" s="82"/>
      <c r="F50" s="30"/>
      <c r="G50" s="1">
        <f t="shared" si="5"/>
        <v>1.4286180139639653E-2</v>
      </c>
      <c r="H50" s="1">
        <f t="shared" si="5"/>
        <v>4.6575569362337421E-2</v>
      </c>
      <c r="I50" s="1">
        <f t="shared" si="5"/>
        <v>0.26397020584903513</v>
      </c>
      <c r="K50" s="1">
        <f t="shared" si="6"/>
        <v>67.24799999999999</v>
      </c>
      <c r="L50" s="1">
        <f t="shared" si="7"/>
        <v>61.284869999999998</v>
      </c>
      <c r="O50" s="7"/>
      <c r="P50" s="7"/>
      <c r="Q50" s="7"/>
      <c r="R50" s="7"/>
      <c r="S50" s="7"/>
      <c r="T50" s="12"/>
      <c r="V50" s="1"/>
      <c r="W50"/>
    </row>
    <row r="51" spans="2:26" x14ac:dyDescent="0.25">
      <c r="B51" s="1">
        <f t="shared" si="4"/>
        <v>5.9511238162981178E-2</v>
      </c>
      <c r="C51" s="1">
        <f t="shared" si="4"/>
        <v>0.30498731406988622</v>
      </c>
      <c r="D51" s="1">
        <f t="shared" si="4"/>
        <v>6.301001765316766E-2</v>
      </c>
      <c r="E51" s="83"/>
      <c r="F51" s="31"/>
      <c r="G51" s="1">
        <f t="shared" si="5"/>
        <v>9.6671621786381001E-2</v>
      </c>
      <c r="H51" s="1">
        <f t="shared" si="5"/>
        <v>0.33484986265012168</v>
      </c>
      <c r="I51" s="1">
        <f t="shared" si="5"/>
        <v>4.3362243579019723E-2</v>
      </c>
      <c r="K51" s="1">
        <f t="shared" si="6"/>
        <v>116.77499999999999</v>
      </c>
      <c r="L51" s="1">
        <f t="shared" si="7"/>
        <v>124.76012999999998</v>
      </c>
      <c r="O51" s="7"/>
      <c r="P51" s="9" t="s">
        <v>72</v>
      </c>
      <c r="Q51" s="9" t="s">
        <v>73</v>
      </c>
      <c r="R51" s="9" t="s">
        <v>74</v>
      </c>
      <c r="S51" s="9"/>
      <c r="T51" s="12"/>
      <c r="U51" s="2" t="s">
        <v>71</v>
      </c>
      <c r="V51" s="1"/>
      <c r="W51"/>
    </row>
    <row r="52" spans="2:26" x14ac:dyDescent="0.25">
      <c r="B52" s="1">
        <f t="shared" si="4"/>
        <v>0.44520119451622792</v>
      </c>
      <c r="C52" s="1">
        <f t="shared" si="4"/>
        <v>2.7320891639074901E-2</v>
      </c>
      <c r="D52" s="1">
        <f t="shared" si="4"/>
        <v>4.0915196906853191E-2</v>
      </c>
      <c r="E52" s="84"/>
      <c r="F52" s="32"/>
      <c r="G52" s="1">
        <f t="shared" si="5"/>
        <v>0.52699232601284574</v>
      </c>
      <c r="H52" s="1">
        <f t="shared" si="5"/>
        <v>2.6659273327749086E-2</v>
      </c>
      <c r="I52" s="1">
        <f t="shared" si="5"/>
        <v>2.4906498460054102E-2</v>
      </c>
      <c r="K52" s="1">
        <f t="shared" si="6"/>
        <v>86.722000000000008</v>
      </c>
      <c r="L52" s="1">
        <f t="shared" si="7"/>
        <v>89.031169999999989</v>
      </c>
      <c r="O52" s="7"/>
      <c r="P52" s="9">
        <f>VLOOKUP($U52,$M$90:$Q$113,2,0)</f>
        <v>230</v>
      </c>
      <c r="Q52" s="9">
        <f>VLOOKUP($U52,$M$90:$Q$113,4,0)</f>
        <v>163</v>
      </c>
      <c r="R52" s="9">
        <f>VLOOKUP($U52,$M$90:$Q$113,5,0)</f>
        <v>46</v>
      </c>
      <c r="S52" s="53"/>
      <c r="T52" s="13" t="str">
        <f>"E"&amp;MATCH(LARGE($N$12:$N$35,1),$N$12:$N$35,0)+11</f>
        <v>E23</v>
      </c>
      <c r="U52" s="3">
        <f>LARGE($N$12:$N$35,1)</f>
        <v>8.3241476358923983</v>
      </c>
      <c r="V52" s="1"/>
      <c r="W52"/>
    </row>
    <row r="53" spans="2:26" x14ac:dyDescent="0.25">
      <c r="B53" s="1">
        <f t="shared" si="4"/>
        <v>0.85499260812423383</v>
      </c>
      <c r="C53" s="1">
        <f t="shared" si="4"/>
        <v>0.57758044042965062</v>
      </c>
      <c r="D53" s="1">
        <f t="shared" si="4"/>
        <v>1.0960094006488242E-2</v>
      </c>
      <c r="E53" s="85"/>
      <c r="F53" s="33"/>
      <c r="G53" s="1">
        <f t="shared" si="5"/>
        <v>0.81841364748319567</v>
      </c>
      <c r="H53" s="1">
        <f t="shared" si="5"/>
        <v>0.58544838322600679</v>
      </c>
      <c r="I53" s="1">
        <f t="shared" si="5"/>
        <v>2.6710374552297699E-4</v>
      </c>
      <c r="K53" s="1">
        <f t="shared" si="6"/>
        <v>191.64</v>
      </c>
      <c r="L53" s="1">
        <f t="shared" si="7"/>
        <v>188.01213999999999</v>
      </c>
      <c r="P53" s="9">
        <f>VLOOKUP($U53,$M$90:$Q$113,2,0)</f>
        <v>178</v>
      </c>
      <c r="Q53" s="9">
        <f>VLOOKUP($U53,$M$90:$Q$113,4,0)</f>
        <v>46</v>
      </c>
      <c r="R53" s="9">
        <f>VLOOKUP($U53,$M$90:$Q$113,5,0)</f>
        <v>57</v>
      </c>
      <c r="S53" s="58"/>
      <c r="T53" s="13" t="str">
        <f>"E"&amp;MATCH(LARGE($N$12:$N$35,2),$N$12:$N$35,0)+11</f>
        <v>E26</v>
      </c>
      <c r="U53" s="3">
        <f>LARGE($N$12:$N$35,2)</f>
        <v>7.9472913233967724</v>
      </c>
      <c r="V53" s="1"/>
      <c r="W53"/>
    </row>
    <row r="54" spans="2:26" x14ac:dyDescent="0.25">
      <c r="B54" s="1">
        <f t="shared" si="4"/>
        <v>0.50888132085493376</v>
      </c>
      <c r="C54" s="1">
        <f t="shared" si="4"/>
        <v>9.084171118340767E-2</v>
      </c>
      <c r="D54" s="1">
        <f t="shared" si="4"/>
        <v>0.29613827079832111</v>
      </c>
      <c r="E54" s="86"/>
      <c r="F54" s="34"/>
      <c r="G54" s="1">
        <f t="shared" si="5"/>
        <v>0.54886268045044928</v>
      </c>
      <c r="H54" s="1">
        <f t="shared" si="5"/>
        <v>0.10540713938350826</v>
      </c>
      <c r="I54" s="1">
        <f t="shared" si="5"/>
        <v>0.3040510185604639</v>
      </c>
      <c r="K54" s="1">
        <f t="shared" si="6"/>
        <v>123.27799999999999</v>
      </c>
      <c r="L54" s="1">
        <f t="shared" si="7"/>
        <v>129.14126999999999</v>
      </c>
      <c r="P54" s="9">
        <f>VLOOKUP($U54,$M$90:$Q$113,2,0)</f>
        <v>69</v>
      </c>
      <c r="Q54" s="9">
        <f>VLOOKUP($U54,$M$90:$Q$113,4,0)</f>
        <v>150</v>
      </c>
      <c r="R54" s="9">
        <f>VLOOKUP($U54,$M$90:$Q$113,5,0)</f>
        <v>71</v>
      </c>
      <c r="S54" s="63"/>
      <c r="T54" s="13" t="str">
        <f>"E"&amp;MATCH(LARGE($N$12:$N$35,3),$N$12:$N$35,0)+11</f>
        <v>E25</v>
      </c>
      <c r="U54" s="3">
        <f>LARGE($N$12:$N$35,3)</f>
        <v>7.7566307531748091</v>
      </c>
      <c r="V54" s="1"/>
      <c r="W54"/>
    </row>
    <row r="55" spans="2:26" x14ac:dyDescent="0.25">
      <c r="B55" s="1">
        <f t="shared" si="4"/>
        <v>0</v>
      </c>
      <c r="C55" s="1">
        <f t="shared" si="4"/>
        <v>0.25015828472995338</v>
      </c>
      <c r="D55" s="1">
        <f t="shared" si="4"/>
        <v>0.38132601143253014</v>
      </c>
      <c r="E55" s="87"/>
      <c r="F55" s="35"/>
      <c r="G55" s="1">
        <f t="shared" si="5"/>
        <v>1.8970436471802343E-3</v>
      </c>
      <c r="H55" s="1">
        <f t="shared" si="5"/>
        <v>0.25879065956310482</v>
      </c>
      <c r="I55" s="1">
        <f t="shared" si="5"/>
        <v>0.34344287886274488</v>
      </c>
      <c r="K55" s="1">
        <f t="shared" si="6"/>
        <v>99.342999999999989</v>
      </c>
      <c r="L55" s="1">
        <f t="shared" si="7"/>
        <v>101.59828</v>
      </c>
      <c r="P55" s="9">
        <f>VLOOKUP($U55,$M$90:$Q$113,2,0)</f>
        <v>159</v>
      </c>
      <c r="Q55" s="9">
        <f>VLOOKUP($U55,$M$90:$Q$113,4,0)</f>
        <v>188</v>
      </c>
      <c r="R55" s="9">
        <f>VLOOKUP($U55,$M$90:$Q$113,5,0)</f>
        <v>62</v>
      </c>
      <c r="S55" s="57"/>
      <c r="T55" s="13" t="str">
        <f>"E"&amp;MATCH(LARGE($N$12:$N$35,4),$N$12:$N$35,0)+11</f>
        <v>E22</v>
      </c>
      <c r="U55" s="3">
        <f>LARGE($N$12:$N$35,4)</f>
        <v>7.4461861820452819</v>
      </c>
      <c r="V55" s="1"/>
      <c r="W55"/>
    </row>
    <row r="56" spans="2:26" x14ac:dyDescent="0.25">
      <c r="B56" s="1">
        <f t="shared" si="4"/>
        <v>0.88792311788196632</v>
      </c>
      <c r="C56" s="1">
        <f t="shared" si="4"/>
        <v>0.88792311788196632</v>
      </c>
      <c r="D56" s="1">
        <f t="shared" si="4"/>
        <v>0.87136711919879717</v>
      </c>
      <c r="E56" s="88"/>
      <c r="F56" s="36"/>
      <c r="G56" s="1">
        <f t="shared" si="5"/>
        <v>0.78741228939561736</v>
      </c>
      <c r="H56" s="1">
        <f t="shared" si="5"/>
        <v>0.73977971867286152</v>
      </c>
      <c r="I56" s="1">
        <f t="shared" si="5"/>
        <v>0.63718527592161778</v>
      </c>
      <c r="K56" s="1">
        <f t="shared" si="6"/>
        <v>241.77199999999999</v>
      </c>
      <c r="L56" s="1">
        <f t="shared" si="7"/>
        <v>223.48740999999998</v>
      </c>
      <c r="P56" s="9">
        <f>VLOOKUP($U56,$M$90:$Q$113,2,0)</f>
        <v>74</v>
      </c>
      <c r="Q56" s="9">
        <f>VLOOKUP($U56,$M$90:$Q$113,4,0)</f>
        <v>92</v>
      </c>
      <c r="R56" s="9">
        <f>VLOOKUP($U56,$M$90:$Q$113,5,0)</f>
        <v>168</v>
      </c>
      <c r="S56" s="61"/>
      <c r="T56" s="13" t="str">
        <f>"E"&amp;MATCH(LARGE($N$12:$N$35,5),$N$12:$N$35,0)+11</f>
        <v>E19</v>
      </c>
      <c r="U56" s="3">
        <f>LARGE($N$12:$N$35,5)</f>
        <v>6.9355657129245945</v>
      </c>
      <c r="V56" s="1"/>
      <c r="W56"/>
    </row>
    <row r="57" spans="2:26" x14ac:dyDescent="0.25">
      <c r="B57" s="1">
        <f t="shared" si="4"/>
        <v>0.5840784178911641</v>
      </c>
      <c r="C57" s="1">
        <f t="shared" si="4"/>
        <v>0.5840784178911641</v>
      </c>
      <c r="D57" s="1">
        <f t="shared" si="4"/>
        <v>0.5840784178911641</v>
      </c>
      <c r="E57" s="89"/>
      <c r="F57" s="37"/>
      <c r="G57" s="1">
        <f t="shared" si="5"/>
        <v>0.59997932599344328</v>
      </c>
      <c r="H57" s="1">
        <f t="shared" si="5"/>
        <v>0.57473475673661845</v>
      </c>
      <c r="I57" s="1">
        <f t="shared" si="5"/>
        <v>0.50444113638947663</v>
      </c>
      <c r="K57" s="1">
        <f t="shared" si="6"/>
        <v>201</v>
      </c>
      <c r="L57" s="1">
        <f t="shared" si="7"/>
        <v>199.42593999999997</v>
      </c>
    </row>
    <row r="58" spans="2:26" x14ac:dyDescent="0.25">
      <c r="B58" s="1">
        <f t="shared" si="4"/>
        <v>0.35640014414594351</v>
      </c>
      <c r="C58" s="1">
        <f t="shared" si="4"/>
        <v>0.35640014414594351</v>
      </c>
      <c r="D58" s="1">
        <f t="shared" si="4"/>
        <v>0.35640014414594351</v>
      </c>
      <c r="E58" s="90"/>
      <c r="F58" s="38"/>
      <c r="G58" s="1">
        <f t="shared" si="5"/>
        <v>0.42554035252933292</v>
      </c>
      <c r="H58" s="1">
        <f t="shared" si="5"/>
        <v>0.40276459998549752</v>
      </c>
      <c r="I58" s="1">
        <f t="shared" si="5"/>
        <v>0.35713364525791103</v>
      </c>
      <c r="K58" s="1">
        <f t="shared" si="6"/>
        <v>161</v>
      </c>
      <c r="L58" s="1">
        <f t="shared" si="7"/>
        <v>170.40073000000001</v>
      </c>
    </row>
    <row r="59" spans="2:26" x14ac:dyDescent="0.25">
      <c r="B59" s="1">
        <f t="shared" si="4"/>
        <v>0.20155625379439707</v>
      </c>
      <c r="C59" s="1">
        <f t="shared" si="4"/>
        <v>0.20155625379439707</v>
      </c>
      <c r="D59" s="1">
        <f t="shared" si="4"/>
        <v>0.20155625379439707</v>
      </c>
      <c r="E59" s="91"/>
      <c r="F59" s="39">
        <v>0.18</v>
      </c>
      <c r="G59" s="1">
        <f t="shared" si="5"/>
        <v>0.2389390676326936</v>
      </c>
      <c r="H59" s="1">
        <f t="shared" si="5"/>
        <v>0.22015295185503195</v>
      </c>
      <c r="I59" s="1">
        <f t="shared" si="5"/>
        <v>0.19647723853942747</v>
      </c>
      <c r="K59" s="1">
        <f t="shared" si="6"/>
        <v>124</v>
      </c>
      <c r="L59" s="1">
        <f t="shared" si="7"/>
        <v>129.90020999999999</v>
      </c>
    </row>
    <row r="60" spans="2:26" x14ac:dyDescent="0.25">
      <c r="B60" s="1">
        <f t="shared" si="4"/>
        <v>9.084171118340767E-2</v>
      </c>
      <c r="C60" s="1">
        <f t="shared" si="4"/>
        <v>9.3058962846687465E-2</v>
      </c>
      <c r="D60" s="1">
        <f t="shared" si="4"/>
        <v>9.7587347141862429E-2</v>
      </c>
      <c r="E60" s="92"/>
      <c r="F60" s="40"/>
      <c r="G60" s="1">
        <f t="shared" si="5"/>
        <v>0.10428210328114863</v>
      </c>
      <c r="H60" s="1">
        <f t="shared" si="5"/>
        <v>9.0687670724213229E-2</v>
      </c>
      <c r="I60" s="1">
        <f t="shared" si="5"/>
        <v>7.7844936772841072E-2</v>
      </c>
      <c r="K60" s="1">
        <f t="shared" si="6"/>
        <v>85.928999999999988</v>
      </c>
      <c r="L60" s="1">
        <f t="shared" si="7"/>
        <v>86.007670000000005</v>
      </c>
    </row>
    <row r="61" spans="2:26" x14ac:dyDescent="0.25">
      <c r="B61" s="1">
        <f t="shared" si="4"/>
        <v>3.3104766570885055E-2</v>
      </c>
      <c r="C61" s="1">
        <f t="shared" si="4"/>
        <v>3.3104766570885055E-2</v>
      </c>
      <c r="D61" s="1">
        <f t="shared" si="4"/>
        <v>3.5601314875020329E-2</v>
      </c>
      <c r="E61" s="93"/>
      <c r="F61" s="41"/>
      <c r="G61" s="1">
        <f t="shared" si="5"/>
        <v>1.6374587815039383E-2</v>
      </c>
      <c r="H61" s="1">
        <f t="shared" si="5"/>
        <v>8.6852219937979969E-3</v>
      </c>
      <c r="I61" s="1">
        <f t="shared" si="5"/>
        <v>9.2555938896370354E-3</v>
      </c>
      <c r="K61" s="1">
        <f t="shared" si="6"/>
        <v>51.227999999999994</v>
      </c>
      <c r="L61" s="1">
        <f t="shared" si="7"/>
        <v>26.690739999999998</v>
      </c>
    </row>
    <row r="63" spans="2:26" x14ac:dyDescent="0.25">
      <c r="B63" s="2" t="s">
        <v>41</v>
      </c>
      <c r="C63" s="2" t="s">
        <v>42</v>
      </c>
      <c r="D63" s="2" t="s">
        <v>43</v>
      </c>
      <c r="G63" s="2" t="s">
        <v>44</v>
      </c>
      <c r="H63" s="2" t="s">
        <v>45</v>
      </c>
      <c r="I63" s="2" t="s">
        <v>46</v>
      </c>
      <c r="K63" s="2" t="s">
        <v>58</v>
      </c>
      <c r="L63" s="3" t="s">
        <v>59</v>
      </c>
      <c r="M63" s="3" t="s">
        <v>60</v>
      </c>
      <c r="N63" s="2" t="s">
        <v>61</v>
      </c>
      <c r="P63" s="97" t="s">
        <v>0</v>
      </c>
      <c r="Q63" s="97"/>
      <c r="R63" s="97"/>
    </row>
    <row r="64" spans="2:26" x14ac:dyDescent="0.25">
      <c r="B64" s="1">
        <f t="shared" ref="B64:B87" si="8">$P$64*B38+$Q$64*C38+$R$64*D38</f>
        <v>0.10881455396547282</v>
      </c>
      <c r="C64" s="1">
        <f t="shared" ref="C64:C87" si="9">$P$65*B38+$Q$65*C38+$R$65*D38</f>
        <v>9.5442130185998467E-2</v>
      </c>
      <c r="D64" s="1">
        <f t="shared" ref="D64:D87" si="10">$P$66*B38+$Q$66*C38+$R$66*D38</f>
        <v>6.2690993021837754E-2</v>
      </c>
      <c r="E64" s="70"/>
      <c r="F64" s="18"/>
      <c r="G64" s="1">
        <f t="shared" ref="G64:G87" si="11">$P$64*G38+$Q$64*H38+$R$64*I38</f>
        <v>0.15292829291060184</v>
      </c>
      <c r="H64" s="1">
        <f t="shared" ref="H64:H87" si="12">$P$65*G38+$Q$65*H38+$R$65*I38</f>
        <v>0.13533105861084349</v>
      </c>
      <c r="I64" s="1">
        <f t="shared" ref="I64:I87" si="13">$P$66*G38+$Q$66*H38+$R$66*I38</f>
        <v>7.3935550918320797E-2</v>
      </c>
      <c r="K64" s="1">
        <f t="shared" ref="K64:K87" si="14">IF(MAX(B12:D12)=0,0,1-(MIN(B12:D12)/MAX(B12:D12)))</f>
        <v>0.43965517241379315</v>
      </c>
      <c r="L64" s="3">
        <f t="shared" ref="L64:L87" si="15">IF(MAX(G12:I12)=0,0,1-(MIN(G12:I12)/MAX(G12:I12)))</f>
        <v>0.4987238386932108</v>
      </c>
      <c r="M64" s="3">
        <f t="shared" ref="M64:M87" si="16">SQRT(C116^2+D116^2)</f>
        <v>20.125297272470608</v>
      </c>
      <c r="N64" s="1">
        <f t="shared" ref="N64:N87" si="17">SQRT(H116^2+I116^2)</f>
        <v>26.023100253625334</v>
      </c>
      <c r="P64" s="2">
        <v>0.4124564</v>
      </c>
      <c r="Q64" s="2">
        <v>0.35757610000000001</v>
      </c>
      <c r="R64" s="2">
        <v>0.1804375</v>
      </c>
    </row>
    <row r="65" spans="2:18" x14ac:dyDescent="0.25">
      <c r="B65" s="1">
        <f t="shared" si="8"/>
        <v>0.37962593594608413</v>
      </c>
      <c r="C65" s="1">
        <f t="shared" si="9"/>
        <v>0.35296769629916042</v>
      </c>
      <c r="D65" s="1">
        <f t="shared" si="10"/>
        <v>0.25928138827055597</v>
      </c>
      <c r="E65" s="71"/>
      <c r="F65" s="19"/>
      <c r="G65" s="1">
        <f t="shared" si="11"/>
        <v>0.45688550074758094</v>
      </c>
      <c r="H65" s="1">
        <f t="shared" si="12"/>
        <v>0.42003948262444274</v>
      </c>
      <c r="I65" s="1">
        <f t="shared" si="13"/>
        <v>0.29649923943828166</v>
      </c>
      <c r="K65" s="1">
        <f t="shared" si="14"/>
        <v>0.34010152284263961</v>
      </c>
      <c r="L65" s="3">
        <f t="shared" si="15"/>
        <v>0.36236982180050925</v>
      </c>
      <c r="M65" s="3">
        <f t="shared" si="16"/>
        <v>22.872277338070102</v>
      </c>
      <c r="N65" s="1">
        <f t="shared" si="17"/>
        <v>26.509902874860284</v>
      </c>
      <c r="P65" s="2">
        <v>0.2126729</v>
      </c>
      <c r="Q65" s="2">
        <v>0.71515220000000002</v>
      </c>
      <c r="R65" s="2">
        <v>7.2175000000000003E-2</v>
      </c>
    </row>
    <row r="66" spans="2:18" x14ac:dyDescent="0.25">
      <c r="B66" s="1">
        <f t="shared" si="8"/>
        <v>0.17831634419719045</v>
      </c>
      <c r="C66" s="1">
        <f t="shared" si="9"/>
        <v>0.18800972889905959</v>
      </c>
      <c r="D66" s="1">
        <f t="shared" si="10"/>
        <v>0.35483526505336394</v>
      </c>
      <c r="E66" s="72"/>
      <c r="F66" s="20"/>
      <c r="G66" s="1">
        <f t="shared" si="11"/>
        <v>0.25879686673148689</v>
      </c>
      <c r="H66" s="1">
        <f t="shared" si="12"/>
        <v>0.28118749087152251</v>
      </c>
      <c r="I66" s="1">
        <f t="shared" si="13"/>
        <v>0.39696882614839063</v>
      </c>
      <c r="K66" s="1">
        <f t="shared" si="14"/>
        <v>0.4088050314465409</v>
      </c>
      <c r="L66" s="3">
        <f t="shared" si="15"/>
        <v>0.23702223029862501</v>
      </c>
      <c r="M66" s="3">
        <f t="shared" si="16"/>
        <v>23.058874729845193</v>
      </c>
      <c r="N66" s="1">
        <f t="shared" si="17"/>
        <v>12.353219746552059</v>
      </c>
      <c r="P66" s="2">
        <v>1.9333900000000001E-2</v>
      </c>
      <c r="Q66" s="2">
        <v>0.11919200000000001</v>
      </c>
      <c r="R66" s="2">
        <v>0.95030409999999998</v>
      </c>
    </row>
    <row r="67" spans="2:18" x14ac:dyDescent="0.25">
      <c r="B67" s="1">
        <f t="shared" si="8"/>
        <v>0.1015159659694929</v>
      </c>
      <c r="C67" s="1">
        <f t="shared" si="9"/>
        <v>0.12937785862928369</v>
      </c>
      <c r="D67" s="1">
        <f t="shared" si="10"/>
        <v>6.5189100026579752E-2</v>
      </c>
      <c r="E67" s="73"/>
      <c r="F67" s="21"/>
      <c r="G67" s="1">
        <f t="shared" si="11"/>
        <v>0.1708840781035201</v>
      </c>
      <c r="H67" s="1">
        <f t="shared" si="12"/>
        <v>0.2164954123836762</v>
      </c>
      <c r="I67" s="1">
        <f t="shared" si="13"/>
        <v>8.1999349526329424E-2</v>
      </c>
      <c r="K67" s="1">
        <f t="shared" si="14"/>
        <v>0.42056074766355145</v>
      </c>
      <c r="L67" s="3">
        <f t="shared" si="15"/>
        <v>0.52385172057303198</v>
      </c>
      <c r="M67" s="3">
        <f t="shared" si="16"/>
        <v>27.746862104281558</v>
      </c>
      <c r="N67" s="1">
        <f t="shared" si="17"/>
        <v>39.930003837458798</v>
      </c>
      <c r="P67" s="2"/>
      <c r="Q67" s="2"/>
      <c r="R67" s="2"/>
    </row>
    <row r="68" spans="2:18" x14ac:dyDescent="0.25">
      <c r="B68" s="1">
        <f t="shared" si="8"/>
        <v>0.25823045115438858</v>
      </c>
      <c r="C68" s="1">
        <f t="shared" si="9"/>
        <v>0.24433009248474655</v>
      </c>
      <c r="D68" s="1">
        <f t="shared" si="10"/>
        <v>0.45466381436952719</v>
      </c>
      <c r="E68" s="74"/>
      <c r="F68" s="22"/>
      <c r="G68" s="1">
        <f t="shared" si="11"/>
        <v>0.35043521934303695</v>
      </c>
      <c r="H68" s="1">
        <f t="shared" si="12"/>
        <v>0.34520127056963901</v>
      </c>
      <c r="I68" s="1">
        <f t="shared" si="13"/>
        <v>0.50325474696239447</v>
      </c>
      <c r="K68" s="1">
        <f t="shared" si="14"/>
        <v>0.2640449438202247</v>
      </c>
      <c r="L68" s="3">
        <f t="shared" si="15"/>
        <v>0.15777765720796488</v>
      </c>
      <c r="M68" s="3">
        <f t="shared" si="16"/>
        <v>26.926438874088216</v>
      </c>
      <c r="N68" s="1">
        <f t="shared" si="17"/>
        <v>16.31775039603837</v>
      </c>
      <c r="P68" s="97" t="s">
        <v>1</v>
      </c>
      <c r="Q68" s="97"/>
      <c r="R68" s="97"/>
    </row>
    <row r="69" spans="2:18" x14ac:dyDescent="0.25">
      <c r="B69" s="1">
        <f t="shared" si="8"/>
        <v>0.30929805330475785</v>
      </c>
      <c r="C69" s="1">
        <f t="shared" si="9"/>
        <v>0.42119783367068347</v>
      </c>
      <c r="D69" s="1">
        <f t="shared" si="10"/>
        <v>0.44522457752086353</v>
      </c>
      <c r="E69" s="75"/>
      <c r="F69" s="23"/>
      <c r="G69" s="1">
        <f t="shared" si="11"/>
        <v>0.38372704987788386</v>
      </c>
      <c r="H69" s="1">
        <f t="shared" si="12"/>
        <v>0.48896135052936762</v>
      </c>
      <c r="I69" s="1">
        <f t="shared" si="13"/>
        <v>0.47944534438213687</v>
      </c>
      <c r="K69" s="1">
        <f t="shared" si="14"/>
        <v>0.46031746031746035</v>
      </c>
      <c r="L69" s="3">
        <f t="shared" si="15"/>
        <v>0.30501287293654411</v>
      </c>
      <c r="M69" s="3">
        <f t="shared" si="16"/>
        <v>30.912077620253481</v>
      </c>
      <c r="N69" s="1">
        <f t="shared" si="17"/>
        <v>24.948882716060599</v>
      </c>
      <c r="P69" s="2">
        <v>0.95040000000000002</v>
      </c>
      <c r="Q69" s="2">
        <v>1</v>
      </c>
      <c r="R69" s="2">
        <v>1.0888</v>
      </c>
    </row>
    <row r="70" spans="2:18" x14ac:dyDescent="0.25">
      <c r="B70" s="1">
        <f t="shared" si="8"/>
        <v>0.36399981753517024</v>
      </c>
      <c r="C70" s="1">
        <f t="shared" si="9"/>
        <v>0.29235548232363512</v>
      </c>
      <c r="D70" s="1">
        <f t="shared" si="10"/>
        <v>5.8235245837516027E-2</v>
      </c>
      <c r="E70" s="76"/>
      <c r="F70" s="24"/>
      <c r="G70" s="1">
        <f t="shared" si="11"/>
        <v>0.35676031885946996</v>
      </c>
      <c r="H70" s="1">
        <f t="shared" si="12"/>
        <v>0.28578031448715668</v>
      </c>
      <c r="I70" s="1">
        <f t="shared" si="13"/>
        <v>4.0598959464827181E-2</v>
      </c>
      <c r="K70" s="1">
        <f t="shared" si="14"/>
        <v>0.81192660550458717</v>
      </c>
      <c r="L70" s="3">
        <f t="shared" si="15"/>
        <v>0.9346735980126053</v>
      </c>
      <c r="M70" s="3">
        <f t="shared" si="16"/>
        <v>65.346212833308257</v>
      </c>
      <c r="N70" s="1">
        <f t="shared" si="17"/>
        <v>72.089649731687089</v>
      </c>
      <c r="P70" s="2"/>
      <c r="Q70" s="2"/>
      <c r="R70" s="2"/>
    </row>
    <row r="71" spans="2:18" x14ac:dyDescent="0.25">
      <c r="B71" s="1">
        <f t="shared" si="8"/>
        <v>0.13716752213944286</v>
      </c>
      <c r="C71" s="1">
        <f t="shared" si="9"/>
        <v>0.11936300209482206</v>
      </c>
      <c r="D71" s="1">
        <f t="shared" si="10"/>
        <v>0.38619317883086107</v>
      </c>
      <c r="E71" s="77"/>
      <c r="F71" s="25"/>
      <c r="G71" s="1">
        <f t="shared" si="11"/>
        <v>0.16960746523884654</v>
      </c>
      <c r="H71" s="1">
        <f t="shared" si="12"/>
        <v>0.16628006109940524</v>
      </c>
      <c r="I71" s="1">
        <f t="shared" si="13"/>
        <v>0.41413062622079355</v>
      </c>
      <c r="K71" s="1">
        <f t="shared" si="14"/>
        <v>0.55952380952380953</v>
      </c>
      <c r="L71" s="3">
        <f t="shared" si="15"/>
        <v>0.51501597444089464</v>
      </c>
      <c r="M71" s="3">
        <f t="shared" si="16"/>
        <v>46.004577052474339</v>
      </c>
      <c r="N71" s="1">
        <f t="shared" si="17"/>
        <v>35.538953762670609</v>
      </c>
      <c r="P71" s="97" t="s">
        <v>56</v>
      </c>
      <c r="Q71" s="97"/>
      <c r="R71" s="97"/>
    </row>
    <row r="72" spans="2:18" x14ac:dyDescent="0.25">
      <c r="B72" s="1">
        <f t="shared" si="8"/>
        <v>0.2852874067165907</v>
      </c>
      <c r="C72" s="1">
        <f t="shared" si="9"/>
        <v>0.19271492538768989</v>
      </c>
      <c r="D72" s="1">
        <f t="shared" si="10"/>
        <v>0.14019367229114593</v>
      </c>
      <c r="E72" s="78"/>
      <c r="F72" s="26"/>
      <c r="G72" s="1">
        <f t="shared" si="11"/>
        <v>0.32699040756229569</v>
      </c>
      <c r="H72" s="1">
        <f t="shared" si="12"/>
        <v>0.21398008653606337</v>
      </c>
      <c r="I72" s="1">
        <f t="shared" si="13"/>
        <v>0.13703029186604931</v>
      </c>
      <c r="K72" s="1">
        <f t="shared" si="14"/>
        <v>0.56852791878172582</v>
      </c>
      <c r="L72" s="3">
        <f t="shared" si="15"/>
        <v>0.60154302112245372</v>
      </c>
      <c r="M72" s="3">
        <f t="shared" si="16"/>
        <v>48.215988293073359</v>
      </c>
      <c r="N72" s="1">
        <f t="shared" si="17"/>
        <v>54.841741226803393</v>
      </c>
      <c r="P72" s="4" t="s">
        <v>24</v>
      </c>
      <c r="Q72" s="4" t="s">
        <v>25</v>
      </c>
      <c r="R72" s="4" t="s">
        <v>26</v>
      </c>
    </row>
    <row r="73" spans="2:18" x14ac:dyDescent="0.25">
      <c r="B73" s="1">
        <f t="shared" si="8"/>
        <v>8.7302976384608363E-2</v>
      </c>
      <c r="C73" s="1">
        <f t="shared" si="9"/>
        <v>6.4466564806871171E-2</v>
      </c>
      <c r="D73" s="1">
        <f t="shared" si="10"/>
        <v>0.14417314880441431</v>
      </c>
      <c r="E73" s="79"/>
      <c r="F73" s="27"/>
      <c r="G73" s="1">
        <f t="shared" si="11"/>
        <v>0.10684495438011868</v>
      </c>
      <c r="H73" s="1">
        <f t="shared" si="12"/>
        <v>8.0320897787928544E-2</v>
      </c>
      <c r="I73" s="1">
        <f t="shared" si="13"/>
        <v>0.16101422505151083</v>
      </c>
      <c r="K73" s="1">
        <f t="shared" si="14"/>
        <v>0.45283018867924529</v>
      </c>
      <c r="L73" s="3">
        <f t="shared" si="15"/>
        <v>0.41053293789880463</v>
      </c>
      <c r="M73" s="3">
        <f t="shared" si="16"/>
        <v>33.223047315744729</v>
      </c>
      <c r="N73" s="1">
        <f t="shared" si="17"/>
        <v>32.151123632188465</v>
      </c>
      <c r="P73" s="2">
        <v>1</v>
      </c>
      <c r="Q73" s="2">
        <v>1</v>
      </c>
      <c r="R73" s="2">
        <v>1</v>
      </c>
    </row>
    <row r="74" spans="2:18" x14ac:dyDescent="0.25">
      <c r="B74" s="1">
        <f t="shared" si="8"/>
        <v>0.33151248888963153</v>
      </c>
      <c r="C74" s="1">
        <f t="shared" si="9"/>
        <v>0.43685171533256251</v>
      </c>
      <c r="D74" s="1">
        <f t="shared" si="10"/>
        <v>0.11242106632827278</v>
      </c>
      <c r="E74" s="80"/>
      <c r="F74" s="28"/>
      <c r="G74" s="1">
        <f t="shared" si="11"/>
        <v>0.36046918138816669</v>
      </c>
      <c r="H74" s="1">
        <f t="shared" si="12"/>
        <v>0.46682133644449647</v>
      </c>
      <c r="I74" s="1">
        <f t="shared" si="13"/>
        <v>7.264073449425508E-2</v>
      </c>
      <c r="K74" s="1">
        <f t="shared" si="14"/>
        <v>0.67021276595744683</v>
      </c>
      <c r="L74" s="3">
        <f t="shared" si="15"/>
        <v>0.97239694339034155</v>
      </c>
      <c r="M74" s="3">
        <f t="shared" si="16"/>
        <v>64.088798142439273</v>
      </c>
      <c r="N74" s="1">
        <f t="shared" si="17"/>
        <v>78.445505387924811</v>
      </c>
      <c r="P74" s="4" t="s">
        <v>27</v>
      </c>
      <c r="Q74" s="4" t="s">
        <v>28</v>
      </c>
      <c r="R74" s="2"/>
    </row>
    <row r="75" spans="2:18" x14ac:dyDescent="0.25">
      <c r="B75" s="1">
        <f t="shared" si="8"/>
        <v>0.46226878793124726</v>
      </c>
      <c r="C75" s="1">
        <f t="shared" si="9"/>
        <v>0.43218586258683811</v>
      </c>
      <c r="D75" s="1">
        <f t="shared" si="10"/>
        <v>8.4916409963482514E-2</v>
      </c>
      <c r="E75" s="81"/>
      <c r="F75" s="29"/>
      <c r="G75" s="1">
        <f t="shared" si="11"/>
        <v>0.44380073079059307</v>
      </c>
      <c r="H75" s="1">
        <f t="shared" si="12"/>
        <v>0.43764333064888339</v>
      </c>
      <c r="I75" s="1">
        <f t="shared" si="13"/>
        <v>6.1871826385432711E-2</v>
      </c>
      <c r="K75" s="1">
        <f t="shared" si="14"/>
        <v>0.8</v>
      </c>
      <c r="L75" s="3">
        <f t="shared" si="15"/>
        <v>0.98791282857784768</v>
      </c>
      <c r="M75" s="3">
        <f t="shared" si="16"/>
        <v>67.493201551382199</v>
      </c>
      <c r="N75" s="1">
        <f t="shared" si="17"/>
        <v>75.412082295294624</v>
      </c>
      <c r="P75" s="2">
        <v>4.4999999999999998E-2</v>
      </c>
      <c r="Q75" s="2">
        <v>1.4999999999999999E-2</v>
      </c>
      <c r="R75" s="2"/>
    </row>
    <row r="76" spans="2:18" x14ac:dyDescent="0.25">
      <c r="B76" s="1">
        <f t="shared" si="8"/>
        <v>8.3524918129664671E-2</v>
      </c>
      <c r="C76" s="1">
        <f t="shared" si="9"/>
        <v>6.2273058722335128E-2</v>
      </c>
      <c r="D76" s="1">
        <f t="shared" si="10"/>
        <v>0.29610061046871267</v>
      </c>
      <c r="E76" s="82"/>
      <c r="F76" s="30"/>
      <c r="G76" s="1">
        <f t="shared" si="11"/>
        <v>7.0176860895896642E-2</v>
      </c>
      <c r="H76" s="1">
        <f t="shared" si="12"/>
        <v>5.5398953863101889E-2</v>
      </c>
      <c r="I76" s="1">
        <f t="shared" si="13"/>
        <v>0.25667961173781956</v>
      </c>
      <c r="K76" s="1">
        <f t="shared" si="14"/>
        <v>0.69333333333333336</v>
      </c>
      <c r="L76" s="3">
        <f t="shared" si="15"/>
        <v>0.77360774818401934</v>
      </c>
      <c r="M76" s="3">
        <f t="shared" si="16"/>
        <v>55.784748803918291</v>
      </c>
      <c r="N76" s="1">
        <f t="shared" si="17"/>
        <v>51.040088847265935</v>
      </c>
      <c r="P76" s="4" t="s">
        <v>24</v>
      </c>
      <c r="Q76" s="4" t="s">
        <v>25</v>
      </c>
      <c r="R76" s="4" t="s">
        <v>26</v>
      </c>
    </row>
    <row r="77" spans="2:18" x14ac:dyDescent="0.25">
      <c r="B77" s="1">
        <f t="shared" si="8"/>
        <v>0.14497133542712431</v>
      </c>
      <c r="C77" s="1">
        <f t="shared" si="9"/>
        <v>0.23531652425599933</v>
      </c>
      <c r="D77" s="1">
        <f t="shared" si="10"/>
        <v>9.7381310383014758E-2</v>
      </c>
      <c r="E77" s="83"/>
      <c r="F77" s="31"/>
      <c r="G77" s="1">
        <f t="shared" si="11"/>
        <v>0.16743131190192781</v>
      </c>
      <c r="H77" s="1">
        <f t="shared" si="12"/>
        <v>0.26315772002726096</v>
      </c>
      <c r="I77" s="1">
        <f t="shared" si="13"/>
        <v>8.2987782155790141E-2</v>
      </c>
      <c r="K77" s="1">
        <f t="shared" si="14"/>
        <v>0.54</v>
      </c>
      <c r="L77" s="3">
        <f t="shared" si="15"/>
        <v>0.62468851830553951</v>
      </c>
      <c r="M77" s="3">
        <f t="shared" si="16"/>
        <v>53.697640389634138</v>
      </c>
      <c r="N77" s="1">
        <f t="shared" si="17"/>
        <v>59.077508608947063</v>
      </c>
      <c r="P77" s="2">
        <v>1</v>
      </c>
      <c r="Q77" s="2">
        <v>1</v>
      </c>
      <c r="R77" s="2">
        <v>1</v>
      </c>
    </row>
    <row r="78" spans="2:18" x14ac:dyDescent="0.25">
      <c r="B78" s="1">
        <f t="shared" si="8"/>
        <v>0.20077801568856643</v>
      </c>
      <c r="C78" s="1">
        <f t="shared" si="9"/>
        <v>0.11717387921962842</v>
      </c>
      <c r="D78" s="1">
        <f t="shared" si="10"/>
        <v>5.0745786463791825E-2</v>
      </c>
      <c r="E78" s="84"/>
      <c r="F78" s="32"/>
      <c r="G78" s="1">
        <f t="shared" si="11"/>
        <v>0.23138814291614124</v>
      </c>
      <c r="H78" s="1">
        <f t="shared" si="12"/>
        <v>0.13294005074799281</v>
      </c>
      <c r="I78" s="1">
        <f t="shared" si="13"/>
        <v>3.7035136641613925E-2</v>
      </c>
      <c r="K78" s="1">
        <f t="shared" si="14"/>
        <v>0.7415730337078652</v>
      </c>
      <c r="L78" s="3">
        <f t="shared" si="15"/>
        <v>0.77221585581831442</v>
      </c>
      <c r="M78" s="3">
        <f t="shared" si="16"/>
        <v>59.092769702296579</v>
      </c>
      <c r="N78" s="1">
        <f t="shared" si="17"/>
        <v>68.126329904572529</v>
      </c>
      <c r="P78" s="2"/>
      <c r="Q78" s="2"/>
      <c r="R78" s="2"/>
    </row>
    <row r="79" spans="2:18" x14ac:dyDescent="0.25">
      <c r="B79" s="1">
        <f t="shared" si="8"/>
        <v>0.56115374646094474</v>
      </c>
      <c r="C79" s="1">
        <f t="shared" si="9"/>
        <v>0.59568272488349627</v>
      </c>
      <c r="D79" s="1">
        <f t="shared" si="10"/>
        <v>9.5788731712655256E-2</v>
      </c>
      <c r="E79" s="85"/>
      <c r="F79" s="33"/>
      <c r="G79" s="1">
        <f t="shared" si="11"/>
        <v>0.5469504919091317</v>
      </c>
      <c r="H79" s="1">
        <f t="shared" si="12"/>
        <v>0.59275838127318392</v>
      </c>
      <c r="I79" s="1">
        <f t="shared" si="13"/>
        <v>8.5857721097045397E-2</v>
      </c>
      <c r="K79" s="1">
        <f t="shared" si="14"/>
        <v>0.88655462184873945</v>
      </c>
      <c r="L79" s="3">
        <f t="shared" si="15"/>
        <v>0.99623045620047124</v>
      </c>
      <c r="M79" s="3">
        <f t="shared" si="16"/>
        <v>79.339366441796543</v>
      </c>
      <c r="N79" s="1">
        <f t="shared" si="17"/>
        <v>82.343752186159222</v>
      </c>
      <c r="P79" s="97" t="s">
        <v>77</v>
      </c>
      <c r="Q79" s="97"/>
      <c r="R79" s="97"/>
    </row>
    <row r="80" spans="2:18" x14ac:dyDescent="0.25">
      <c r="B80" s="1">
        <f t="shared" si="8"/>
        <v>0.29580863166653226</v>
      </c>
      <c r="C80" s="1">
        <f t="shared" si="9"/>
        <v>0.19456469556149666</v>
      </c>
      <c r="D80" s="1">
        <f t="shared" si="10"/>
        <v>0.30208767871520475</v>
      </c>
      <c r="E80" s="86"/>
      <c r="F80" s="34"/>
      <c r="G80" s="1">
        <f t="shared" si="11"/>
        <v>0.31893520474735765</v>
      </c>
      <c r="H80" s="1">
        <f t="shared" si="12"/>
        <v>0.21405524784359442</v>
      </c>
      <c r="I80" s="1">
        <f t="shared" si="13"/>
        <v>0.31211627348214499</v>
      </c>
      <c r="K80" s="1">
        <f t="shared" si="14"/>
        <v>0.55026455026455023</v>
      </c>
      <c r="L80" s="3">
        <f t="shared" si="15"/>
        <v>0.532838874680307</v>
      </c>
      <c r="M80" s="3">
        <f t="shared" si="16"/>
        <v>51.22979797086446</v>
      </c>
      <c r="N80" s="1">
        <f t="shared" si="17"/>
        <v>49.884088991687989</v>
      </c>
      <c r="P80" s="4" t="s">
        <v>78</v>
      </c>
      <c r="Q80" s="4" t="s">
        <v>79</v>
      </c>
      <c r="R80" s="4" t="s">
        <v>79</v>
      </c>
    </row>
    <row r="81" spans="2:18" x14ac:dyDescent="0.25">
      <c r="B81" s="1">
        <f t="shared" si="8"/>
        <v>0.15825613602428346</v>
      </c>
      <c r="C81" s="1">
        <f t="shared" si="9"/>
        <v>0.20642345254799543</v>
      </c>
      <c r="D81" s="1">
        <f t="shared" si="10"/>
        <v>0.39219253837451284</v>
      </c>
      <c r="E81" s="87"/>
      <c r="F81" s="35"/>
      <c r="G81" s="1">
        <f t="shared" si="11"/>
        <v>0.15528977701115809</v>
      </c>
      <c r="H81" s="1">
        <f t="shared" si="12"/>
        <v>0.2102661490817965</v>
      </c>
      <c r="I81" s="1">
        <f t="shared" si="13"/>
        <v>0.35725762944588557</v>
      </c>
      <c r="K81" s="1">
        <f t="shared" si="14"/>
        <v>1</v>
      </c>
      <c r="L81" s="3">
        <f t="shared" si="15"/>
        <v>0.96052299140980291</v>
      </c>
      <c r="M81" s="3">
        <f t="shared" si="16"/>
        <v>31.591463122030838</v>
      </c>
      <c r="N81" s="1">
        <f t="shared" si="17"/>
        <v>30.600491519099347</v>
      </c>
      <c r="P81" s="2">
        <v>0.29899999999999999</v>
      </c>
      <c r="Q81" s="2">
        <v>0.58699999999999997</v>
      </c>
      <c r="R81" s="2">
        <v>0.114</v>
      </c>
    </row>
    <row r="82" spans="2:18" x14ac:dyDescent="0.25">
      <c r="B82" s="1">
        <f t="shared" si="8"/>
        <v>0.84095696284087829</v>
      </c>
      <c r="C82" s="1">
        <f t="shared" si="9"/>
        <v>0.88672827746932037</v>
      </c>
      <c r="D82" s="1">
        <f t="shared" si="10"/>
        <v>0.95106409501521116</v>
      </c>
      <c r="E82" s="88"/>
      <c r="F82" s="36"/>
      <c r="G82" s="1">
        <f t="shared" si="11"/>
        <v>0.70427290308612045</v>
      </c>
      <c r="H82" s="1">
        <f t="shared" si="12"/>
        <v>0.74250519569532603</v>
      </c>
      <c r="I82" s="1">
        <f t="shared" si="13"/>
        <v>0.70891935485794622</v>
      </c>
      <c r="K82" s="1">
        <f t="shared" si="14"/>
        <v>8.2644628099173278E-3</v>
      </c>
      <c r="L82" s="3">
        <f t="shared" si="15"/>
        <v>8.9586056644880174E-2</v>
      </c>
      <c r="M82" s="3">
        <f t="shared" si="16"/>
        <v>1.0189363874607713</v>
      </c>
      <c r="N82" s="1">
        <f t="shared" si="17"/>
        <v>7.7649283350300067</v>
      </c>
    </row>
    <row r="83" spans="2:18" x14ac:dyDescent="0.25">
      <c r="B83" s="1">
        <f t="shared" si="8"/>
        <v>0.55514901385301474</v>
      </c>
      <c r="C83" s="1">
        <f t="shared" si="9"/>
        <v>0.58407847629900589</v>
      </c>
      <c r="D83" s="1">
        <f t="shared" si="10"/>
        <v>0.63596210375243623</v>
      </c>
      <c r="E83" s="89"/>
      <c r="F83" s="37"/>
      <c r="G83" s="1">
        <f t="shared" si="11"/>
        <v>0.54399682326928689</v>
      </c>
      <c r="H83" s="1">
        <f t="shared" si="12"/>
        <v>0.57503020791463888</v>
      </c>
      <c r="I83" s="1">
        <f t="shared" si="13"/>
        <v>0.55947620553535449</v>
      </c>
      <c r="K83" s="1">
        <f t="shared" si="14"/>
        <v>0</v>
      </c>
      <c r="L83" s="3">
        <f t="shared" si="15"/>
        <v>7.4525612034214928E-2</v>
      </c>
      <c r="M83" s="3">
        <f t="shared" si="16"/>
        <v>1.0360574466968406E-2</v>
      </c>
      <c r="N83" s="1">
        <f t="shared" si="17"/>
        <v>6.1542946251716311</v>
      </c>
    </row>
    <row r="84" spans="2:18" x14ac:dyDescent="0.25">
      <c r="B84" s="1">
        <f t="shared" si="8"/>
        <v>0.33874764500639493</v>
      </c>
      <c r="C84" s="1">
        <f t="shared" si="9"/>
        <v>0.35640017978595795</v>
      </c>
      <c r="D84" s="1">
        <f t="shared" si="10"/>
        <v>0.38805916895042764</v>
      </c>
      <c r="E84" s="90"/>
      <c r="F84" s="38"/>
      <c r="G84" s="1">
        <f t="shared" si="11"/>
        <v>0.38397613885607818</v>
      </c>
      <c r="H84" s="1">
        <f t="shared" si="12"/>
        <v>0.40431501144767384</v>
      </c>
      <c r="I84" s="1">
        <f t="shared" si="13"/>
        <v>0.39561924015977668</v>
      </c>
      <c r="K84" s="1">
        <f t="shared" si="14"/>
        <v>0</v>
      </c>
      <c r="L84" s="3">
        <f t="shared" si="15"/>
        <v>7.6080724687535684E-2</v>
      </c>
      <c r="M84" s="3">
        <f t="shared" si="16"/>
        <v>8.7876497840417515E-3</v>
      </c>
      <c r="N84" s="1">
        <f t="shared" si="17"/>
        <v>5.173920142272741</v>
      </c>
    </row>
    <row r="85" spans="2:18" x14ac:dyDescent="0.25">
      <c r="B85" s="1">
        <f t="shared" si="8"/>
        <v>0.19157317254396056</v>
      </c>
      <c r="C85" s="1">
        <f t="shared" si="9"/>
        <v>0.20155627395002246</v>
      </c>
      <c r="D85" s="1">
        <f t="shared" si="10"/>
        <v>0.21946049581895336</v>
      </c>
      <c r="E85" s="91"/>
      <c r="F85" s="39">
        <v>0.18</v>
      </c>
      <c r="G85" s="1">
        <f t="shared" si="11"/>
        <v>0.21272524331190537</v>
      </c>
      <c r="H85" s="1">
        <f t="shared" si="12"/>
        <v>0.22243947698394442</v>
      </c>
      <c r="I85" s="1">
        <f t="shared" si="13"/>
        <v>0.21757322001790463</v>
      </c>
      <c r="K85" s="1">
        <f t="shared" si="14"/>
        <v>0</v>
      </c>
      <c r="L85" s="3">
        <f t="shared" si="15"/>
        <v>8.6476815267630736E-2</v>
      </c>
      <c r="M85" s="3">
        <f t="shared" si="16"/>
        <v>7.2670621790761371E-3</v>
      </c>
      <c r="N85" s="1">
        <f t="shared" si="17"/>
        <v>4.2997806357279034</v>
      </c>
    </row>
    <row r="86" spans="2:18" x14ac:dyDescent="0.25">
      <c r="B86" s="1">
        <f t="shared" si="8"/>
        <v>8.8352323119221282E-2</v>
      </c>
      <c r="C86" s="1">
        <f t="shared" si="9"/>
        <v>9.2914258947828468E-2</v>
      </c>
      <c r="D86" s="1">
        <f t="shared" si="10"/>
        <v>0.1055858645565064</v>
      </c>
      <c r="E86" s="92"/>
      <c r="F86" s="40"/>
      <c r="G86" s="1">
        <f t="shared" si="11"/>
        <v>8.9485710298368604E-2</v>
      </c>
      <c r="H86" s="1">
        <f t="shared" si="12"/>
        <v>9.2651922865777891E-2</v>
      </c>
      <c r="I86" s="1">
        <f t="shared" si="13"/>
        <v>8.6801787185059459E-2</v>
      </c>
      <c r="K86" s="1">
        <f t="shared" si="14"/>
        <v>3.4090909090909061E-2</v>
      </c>
      <c r="L86" s="3">
        <f t="shared" si="15"/>
        <v>0.13240149680827651</v>
      </c>
      <c r="M86" s="3">
        <f t="shared" si="16"/>
        <v>1.3013403691087548</v>
      </c>
      <c r="N86" s="1">
        <f t="shared" si="17"/>
        <v>4.586860234883825</v>
      </c>
    </row>
    <row r="87" spans="2:18" x14ac:dyDescent="0.25">
      <c r="B87" s="1">
        <f t="shared" si="8"/>
        <v>3.1915558417256525E-2</v>
      </c>
      <c r="C87" s="1">
        <f t="shared" si="9"/>
        <v>3.3284958255212674E-2</v>
      </c>
      <c r="D87" s="1">
        <f t="shared" si="10"/>
        <v>3.8417943074644571E-2</v>
      </c>
      <c r="E87" s="93"/>
      <c r="F87" s="41"/>
      <c r="G87" s="1">
        <f t="shared" si="11"/>
        <v>1.1529487572312903E-2</v>
      </c>
      <c r="H87" s="1">
        <f t="shared" si="12"/>
        <v>1.0361709182266665E-2</v>
      </c>
      <c r="I87" s="1">
        <f t="shared" si="13"/>
        <v>1.0147422444498982E-2</v>
      </c>
      <c r="K87" s="1">
        <f t="shared" si="14"/>
        <v>3.7735849056603765E-2</v>
      </c>
      <c r="L87" s="3">
        <f t="shared" si="15"/>
        <v>0.32666086451987231</v>
      </c>
      <c r="M87" s="3">
        <f t="shared" si="16"/>
        <v>1.3500020414479592</v>
      </c>
      <c r="N87" s="1">
        <f t="shared" si="17"/>
        <v>6.0734628978128145</v>
      </c>
    </row>
    <row r="89" spans="2:18" x14ac:dyDescent="0.25">
      <c r="B89" s="2" t="s">
        <v>2</v>
      </c>
      <c r="C89" s="2" t="s">
        <v>3</v>
      </c>
      <c r="D89" s="2" t="s">
        <v>4</v>
      </c>
      <c r="G89" s="2" t="s">
        <v>5</v>
      </c>
      <c r="H89" s="2" t="s">
        <v>6</v>
      </c>
      <c r="I89" s="2" t="s">
        <v>7</v>
      </c>
      <c r="K89" s="3" t="str">
        <f t="shared" ref="K89:K113" si="18">K11</f>
        <v>ΔE</v>
      </c>
      <c r="L89" s="3" t="str">
        <f>M11</f>
        <v>Δchroma</v>
      </c>
      <c r="M89" s="3" t="str">
        <f>N11</f>
        <v>Δhue</v>
      </c>
      <c r="N89" s="2" t="str">
        <f t="shared" ref="N89:N113" si="19">B11</f>
        <v>Target sR</v>
      </c>
      <c r="P89" s="2" t="str">
        <f t="shared" ref="P89:P113" si="20">C11</f>
        <v>Target sG</v>
      </c>
      <c r="Q89" s="2" t="str">
        <f t="shared" ref="Q89:Q113" si="21">D11</f>
        <v>Target sB</v>
      </c>
    </row>
    <row r="90" spans="2:18" x14ac:dyDescent="0.25">
      <c r="B90" s="1">
        <f t="shared" ref="B90:B113" si="22">IF((B64/$P$69)&gt;(216/24389), POWER(B64/$P$69,1/3), (((24389/27)*B64/$P$69)+16)/116)</f>
        <v>0.48557932401997744</v>
      </c>
      <c r="C90" s="1">
        <f t="shared" ref="C90:C113" si="23">IF((C64/$Q$69)&gt;(216/24389), POWER(C64/$Q$69,1/3), (((24389/27)*C64/$Q$69)+16)/116)</f>
        <v>0.45699702683737897</v>
      </c>
      <c r="D90" s="1">
        <f t="shared" ref="D90:D113" si="24">IF((D64/$R$69)&gt;(216/24389), POWER(D64/$R$69,1/3), (((24389/27)*D64/$R$69)+16)/116)</f>
        <v>0.38614671592650174</v>
      </c>
      <c r="E90" s="70"/>
      <c r="F90" s="18"/>
      <c r="G90" s="1">
        <f t="shared" ref="G90:G113" si="25">IF((G64/$P$69)&gt;(216/24389), POWER(G64/$P$69,1/3), (((24389/27)*G64/$P$69+16)/116))</f>
        <v>0.54391011786602594</v>
      </c>
      <c r="H90" s="1">
        <f t="shared" ref="H90:H113" si="26">IF((H64/$Q$69)&gt;(216/24389), POWER(H64/$Q$69,1/3), (((24389/27)*H64/$Q$69)+16)/116)</f>
        <v>0.51341177670128701</v>
      </c>
      <c r="I90" s="1">
        <f t="shared" ref="I90:I113" si="27">IF((I64/$R$69)&gt;(216/24389), POWER(I64/$R$69,1/3), (((24389/27)*I64/$R$69)+16)/116)</f>
        <v>0.40797642407229062</v>
      </c>
      <c r="K90" s="3">
        <f t="shared" si="18"/>
        <v>7.7879077295001666</v>
      </c>
      <c r="L90" s="3">
        <f t="shared" ref="L90:L113" si="28">ABS(M12)</f>
        <v>5.8978029811547259</v>
      </c>
      <c r="M90" s="3">
        <f t="shared" ref="M90:M113" si="29">N12</f>
        <v>3.7388140575078466</v>
      </c>
      <c r="N90" s="2">
        <f t="shared" si="19"/>
        <v>116</v>
      </c>
      <c r="P90" s="2">
        <f t="shared" si="20"/>
        <v>78</v>
      </c>
      <c r="Q90" s="2">
        <f t="shared" si="21"/>
        <v>65</v>
      </c>
    </row>
    <row r="91" spans="2:18" x14ac:dyDescent="0.25">
      <c r="B91" s="1">
        <f t="shared" si="22"/>
        <v>0.73646110632497908</v>
      </c>
      <c r="C91" s="1">
        <f t="shared" si="23"/>
        <v>0.70671610251238748</v>
      </c>
      <c r="D91" s="1">
        <f t="shared" si="24"/>
        <v>0.61983259463016294</v>
      </c>
      <c r="E91" s="71"/>
      <c r="F91" s="19"/>
      <c r="G91" s="1">
        <f t="shared" si="25"/>
        <v>0.78337008480624015</v>
      </c>
      <c r="H91" s="1">
        <f t="shared" si="26"/>
        <v>0.74891070467988108</v>
      </c>
      <c r="I91" s="1">
        <f t="shared" si="27"/>
        <v>0.64817432461273528</v>
      </c>
      <c r="K91" s="3">
        <f t="shared" si="18"/>
        <v>5.2125138764143468</v>
      </c>
      <c r="L91" s="3">
        <f t="shared" si="28"/>
        <v>3.637625536790182</v>
      </c>
      <c r="M91" s="3">
        <f t="shared" si="29"/>
        <v>9.9585097023668929E-3</v>
      </c>
      <c r="N91" s="2">
        <f t="shared" si="19"/>
        <v>197</v>
      </c>
      <c r="P91" s="2">
        <f t="shared" si="20"/>
        <v>150</v>
      </c>
      <c r="Q91" s="2">
        <f t="shared" si="21"/>
        <v>130</v>
      </c>
    </row>
    <row r="92" spans="2:18" x14ac:dyDescent="0.25">
      <c r="B92" s="1">
        <f t="shared" si="22"/>
        <v>0.57248165540135698</v>
      </c>
      <c r="C92" s="1">
        <f t="shared" si="23"/>
        <v>0.57287531325395691</v>
      </c>
      <c r="D92" s="1">
        <f t="shared" si="24"/>
        <v>0.68816548653213194</v>
      </c>
      <c r="E92" s="72"/>
      <c r="F92" s="20"/>
      <c r="G92" s="1">
        <f t="shared" si="25"/>
        <v>0.64816293954569015</v>
      </c>
      <c r="H92" s="1">
        <f t="shared" si="26"/>
        <v>0.6551368056192991</v>
      </c>
      <c r="I92" s="1">
        <f t="shared" si="27"/>
        <v>0.71439120125866185</v>
      </c>
      <c r="K92" s="3">
        <f t="shared" si="18"/>
        <v>11.432518900719488</v>
      </c>
      <c r="L92" s="3">
        <f t="shared" si="28"/>
        <v>10.705654983293135</v>
      </c>
      <c r="M92" s="3">
        <f t="shared" si="29"/>
        <v>4.6705536566991839</v>
      </c>
      <c r="N92" s="2">
        <f t="shared" si="19"/>
        <v>94</v>
      </c>
      <c r="P92" s="2">
        <f t="shared" si="20"/>
        <v>122</v>
      </c>
      <c r="Q92" s="2">
        <f t="shared" si="21"/>
        <v>159</v>
      </c>
    </row>
    <row r="93" spans="2:18" x14ac:dyDescent="0.25">
      <c r="B93" s="1">
        <f t="shared" si="22"/>
        <v>0.47447060096854299</v>
      </c>
      <c r="C93" s="1">
        <f t="shared" si="23"/>
        <v>0.50577029603361123</v>
      </c>
      <c r="D93" s="1">
        <f t="shared" si="24"/>
        <v>0.39120910836055467</v>
      </c>
      <c r="E93" s="73"/>
      <c r="F93" s="21"/>
      <c r="G93" s="1">
        <f t="shared" si="25"/>
        <v>0.564414796729232</v>
      </c>
      <c r="H93" s="1">
        <f t="shared" si="26"/>
        <v>0.60045836491690718</v>
      </c>
      <c r="I93" s="1">
        <f t="shared" si="27"/>
        <v>0.42229969234280984</v>
      </c>
      <c r="K93" s="3">
        <f t="shared" si="18"/>
        <v>12.627926471027516</v>
      </c>
      <c r="L93" s="3">
        <f t="shared" si="28"/>
        <v>12.183141733177241</v>
      </c>
      <c r="M93" s="3">
        <f t="shared" si="29"/>
        <v>4.3569190937734401</v>
      </c>
      <c r="N93" s="2">
        <f t="shared" si="19"/>
        <v>88</v>
      </c>
      <c r="P93" s="2">
        <f t="shared" si="20"/>
        <v>107</v>
      </c>
      <c r="Q93" s="2">
        <f t="shared" si="21"/>
        <v>62</v>
      </c>
    </row>
    <row r="94" spans="2:18" x14ac:dyDescent="0.25">
      <c r="B94" s="1">
        <f t="shared" si="22"/>
        <v>0.64768972702764571</v>
      </c>
      <c r="C94" s="1">
        <f t="shared" si="23"/>
        <v>0.62516163711422268</v>
      </c>
      <c r="D94" s="1">
        <f t="shared" si="24"/>
        <v>0.74744761358466583</v>
      </c>
      <c r="E94" s="74"/>
      <c r="F94" s="22"/>
      <c r="G94" s="1">
        <f t="shared" si="25"/>
        <v>0.71707916890789636</v>
      </c>
      <c r="H94" s="1">
        <f t="shared" si="26"/>
        <v>0.70149427092341388</v>
      </c>
      <c r="I94" s="1">
        <f t="shared" si="27"/>
        <v>0.77317877355311915</v>
      </c>
      <c r="K94" s="3">
        <f t="shared" si="18"/>
        <v>10.118781388613273</v>
      </c>
      <c r="L94" s="3">
        <f t="shared" si="28"/>
        <v>10.608688478049846</v>
      </c>
      <c r="M94" s="3">
        <f t="shared" si="29"/>
        <v>1.3885508670602944</v>
      </c>
      <c r="N94" s="2">
        <f t="shared" si="19"/>
        <v>133</v>
      </c>
      <c r="P94" s="2">
        <f t="shared" si="20"/>
        <v>131</v>
      </c>
      <c r="Q94" s="2">
        <f t="shared" si="21"/>
        <v>178</v>
      </c>
    </row>
    <row r="95" spans="2:18" x14ac:dyDescent="0.25">
      <c r="B95" s="1">
        <f t="shared" si="22"/>
        <v>0.68784447461810905</v>
      </c>
      <c r="C95" s="1">
        <f t="shared" si="23"/>
        <v>0.74959850135276274</v>
      </c>
      <c r="D95" s="1">
        <f t="shared" si="24"/>
        <v>0.74223883370657195</v>
      </c>
      <c r="E95" s="75"/>
      <c r="F95" s="23"/>
      <c r="G95" s="1">
        <f t="shared" si="25"/>
        <v>0.73910361943084857</v>
      </c>
      <c r="H95" s="1">
        <f t="shared" si="26"/>
        <v>0.78781608570958106</v>
      </c>
      <c r="I95" s="1">
        <f t="shared" si="27"/>
        <v>0.76078801879730229</v>
      </c>
      <c r="K95" s="3">
        <f t="shared" si="18"/>
        <v>6.0287197954391472</v>
      </c>
      <c r="L95" s="3">
        <f t="shared" si="28"/>
        <v>5.963194904192882</v>
      </c>
      <c r="M95" s="3">
        <f t="shared" si="29"/>
        <v>4.736530217741671</v>
      </c>
      <c r="N95" s="2">
        <f t="shared" si="19"/>
        <v>102</v>
      </c>
      <c r="P95" s="2">
        <f t="shared" si="20"/>
        <v>189</v>
      </c>
      <c r="Q95" s="2">
        <f t="shared" si="21"/>
        <v>170</v>
      </c>
    </row>
    <row r="96" spans="2:18" x14ac:dyDescent="0.25">
      <c r="B96" s="1">
        <f t="shared" si="22"/>
        <v>0.72621449455367837</v>
      </c>
      <c r="C96" s="1">
        <f t="shared" si="23"/>
        <v>0.66369785504851297</v>
      </c>
      <c r="D96" s="1">
        <f t="shared" si="24"/>
        <v>0.37677256085587302</v>
      </c>
      <c r="E96" s="76"/>
      <c r="F96" s="24"/>
      <c r="G96" s="1">
        <f t="shared" si="25"/>
        <v>0.72136772131653348</v>
      </c>
      <c r="H96" s="1">
        <f t="shared" si="26"/>
        <v>0.65868448900886689</v>
      </c>
      <c r="I96" s="1">
        <f t="shared" si="27"/>
        <v>0.33408393851244883</v>
      </c>
      <c r="K96" s="3">
        <f t="shared" si="18"/>
        <v>2.4801264568199586</v>
      </c>
      <c r="L96" s="3">
        <f t="shared" si="28"/>
        <v>6.7434368983788318</v>
      </c>
      <c r="M96" s="3">
        <f t="shared" si="29"/>
        <v>3.3630335398653379</v>
      </c>
      <c r="N96" s="2">
        <f t="shared" si="19"/>
        <v>218</v>
      </c>
      <c r="P96" s="2">
        <f t="shared" si="20"/>
        <v>123</v>
      </c>
      <c r="Q96" s="2">
        <f t="shared" si="21"/>
        <v>41</v>
      </c>
    </row>
    <row r="97" spans="2:17" x14ac:dyDescent="0.25">
      <c r="B97" s="1">
        <f t="shared" si="22"/>
        <v>0.52454363549418292</v>
      </c>
      <c r="C97" s="1">
        <f t="shared" si="23"/>
        <v>0.4923681038159673</v>
      </c>
      <c r="D97" s="1">
        <f t="shared" si="24"/>
        <v>0.70786780799691762</v>
      </c>
      <c r="E97" s="77"/>
      <c r="F97" s="25"/>
      <c r="G97" s="1">
        <f t="shared" si="25"/>
        <v>0.56300576947462833</v>
      </c>
      <c r="H97" s="1">
        <f t="shared" si="26"/>
        <v>0.54989536422621088</v>
      </c>
      <c r="I97" s="1">
        <f t="shared" si="27"/>
        <v>0.72454118818865254</v>
      </c>
      <c r="K97" s="3">
        <f t="shared" si="18"/>
        <v>8.5434948845987932</v>
      </c>
      <c r="L97" s="3">
        <f t="shared" si="28"/>
        <v>10.46562328980373</v>
      </c>
      <c r="M97" s="3">
        <f t="shared" si="29"/>
        <v>6.9355657129245945</v>
      </c>
      <c r="N97" s="2">
        <f t="shared" si="19"/>
        <v>74</v>
      </c>
      <c r="P97" s="2">
        <f t="shared" si="20"/>
        <v>92</v>
      </c>
      <c r="Q97" s="2">
        <f t="shared" si="21"/>
        <v>168</v>
      </c>
    </row>
    <row r="98" spans="2:17" x14ac:dyDescent="0.25">
      <c r="B98" s="1">
        <f t="shared" si="22"/>
        <v>0.66956394246666995</v>
      </c>
      <c r="C98" s="1">
        <f t="shared" si="23"/>
        <v>0.57761498345777973</v>
      </c>
      <c r="D98" s="1">
        <f t="shared" si="24"/>
        <v>0.50496363085971319</v>
      </c>
      <c r="E98" s="78"/>
      <c r="F98" s="26"/>
      <c r="G98" s="1">
        <f t="shared" si="25"/>
        <v>0.70071733506615219</v>
      </c>
      <c r="H98" s="1">
        <f t="shared" si="26"/>
        <v>0.59812384930130036</v>
      </c>
      <c r="I98" s="1">
        <f t="shared" si="27"/>
        <v>0.50113664003611513</v>
      </c>
      <c r="K98" s="3">
        <f t="shared" si="18"/>
        <v>3.5724026526946719</v>
      </c>
      <c r="L98" s="3">
        <f t="shared" si="28"/>
        <v>6.625752933730034</v>
      </c>
      <c r="M98" s="3">
        <f t="shared" si="29"/>
        <v>2.8487264373163912</v>
      </c>
      <c r="N98" s="2">
        <f t="shared" si="19"/>
        <v>197</v>
      </c>
      <c r="P98" s="2">
        <f t="shared" si="20"/>
        <v>85</v>
      </c>
      <c r="Q98" s="2">
        <f t="shared" si="21"/>
        <v>99</v>
      </c>
    </row>
    <row r="99" spans="2:17" x14ac:dyDescent="0.25">
      <c r="B99" s="1">
        <f t="shared" si="22"/>
        <v>0.45120531573936457</v>
      </c>
      <c r="C99" s="1">
        <f t="shared" si="23"/>
        <v>0.40096965752563357</v>
      </c>
      <c r="D99" s="1">
        <f t="shared" si="24"/>
        <v>0.50969701538722623</v>
      </c>
      <c r="E99" s="79"/>
      <c r="F99" s="27"/>
      <c r="G99" s="1">
        <f t="shared" si="25"/>
        <v>0.48263172200125792</v>
      </c>
      <c r="H99" s="1">
        <f t="shared" si="26"/>
        <v>0.43146229716479517</v>
      </c>
      <c r="I99" s="1">
        <f t="shared" si="27"/>
        <v>0.5288169633714882</v>
      </c>
      <c r="K99" s="3">
        <f t="shared" si="18"/>
        <v>3.8191220226653351</v>
      </c>
      <c r="L99" s="3">
        <f t="shared" si="28"/>
        <v>1.071923683556264</v>
      </c>
      <c r="M99" s="3">
        <f t="shared" si="29"/>
        <v>2.0597291720418212</v>
      </c>
      <c r="N99" s="2">
        <f t="shared" si="19"/>
        <v>94</v>
      </c>
      <c r="P99" s="2">
        <f t="shared" si="20"/>
        <v>58</v>
      </c>
      <c r="Q99" s="2">
        <f t="shared" si="21"/>
        <v>106</v>
      </c>
    </row>
    <row r="100" spans="2:17" x14ac:dyDescent="0.25">
      <c r="B100" s="1">
        <f t="shared" si="22"/>
        <v>0.70393272490444703</v>
      </c>
      <c r="C100" s="1">
        <f t="shared" si="23"/>
        <v>0.75877209111879729</v>
      </c>
      <c r="D100" s="1">
        <f t="shared" si="24"/>
        <v>0.46913719052649894</v>
      </c>
      <c r="E100" s="80"/>
      <c r="F100" s="28"/>
      <c r="G100" s="1">
        <f t="shared" si="25"/>
        <v>0.72385887616551425</v>
      </c>
      <c r="H100" s="1">
        <f t="shared" si="26"/>
        <v>0.77574127421648098</v>
      </c>
      <c r="I100" s="1">
        <f t="shared" si="27"/>
        <v>0.40558078508078188</v>
      </c>
      <c r="K100" s="3">
        <f t="shared" si="18"/>
        <v>5.6525446115120364</v>
      </c>
      <c r="L100" s="3">
        <f t="shared" si="28"/>
        <v>14.356707245485538</v>
      </c>
      <c r="M100" s="3">
        <f t="shared" si="29"/>
        <v>7.4461861820452819</v>
      </c>
      <c r="N100" s="2">
        <f t="shared" si="19"/>
        <v>159</v>
      </c>
      <c r="P100" s="2">
        <f t="shared" si="20"/>
        <v>188</v>
      </c>
      <c r="Q100" s="2">
        <f t="shared" si="21"/>
        <v>62</v>
      </c>
    </row>
    <row r="101" spans="2:17" x14ac:dyDescent="0.25">
      <c r="B101" s="1">
        <f t="shared" si="22"/>
        <v>0.78643478476284323</v>
      </c>
      <c r="C101" s="1">
        <f t="shared" si="23"/>
        <v>0.75606102744171744</v>
      </c>
      <c r="D101" s="1">
        <f t="shared" si="24"/>
        <v>0.42724911417651801</v>
      </c>
      <c r="E101" s="81"/>
      <c r="F101" s="29"/>
      <c r="G101" s="1">
        <f t="shared" si="25"/>
        <v>0.77581920917099034</v>
      </c>
      <c r="H101" s="1">
        <f t="shared" si="26"/>
        <v>0.75923013606352641</v>
      </c>
      <c r="I101" s="1">
        <f t="shared" si="27"/>
        <v>0.38445744430653978</v>
      </c>
      <c r="K101" s="3">
        <f t="shared" si="18"/>
        <v>4.5926703391404473</v>
      </c>
      <c r="L101" s="3">
        <f t="shared" si="28"/>
        <v>7.9188807439124247</v>
      </c>
      <c r="M101" s="3">
        <f t="shared" si="29"/>
        <v>8.3241476358923983</v>
      </c>
      <c r="N101" s="2">
        <f t="shared" si="19"/>
        <v>230</v>
      </c>
      <c r="P101" s="2">
        <f t="shared" si="20"/>
        <v>163</v>
      </c>
      <c r="Q101" s="2">
        <f t="shared" si="21"/>
        <v>46</v>
      </c>
    </row>
    <row r="102" spans="2:17" x14ac:dyDescent="0.25">
      <c r="B102" s="1">
        <f t="shared" si="22"/>
        <v>0.44460042856503978</v>
      </c>
      <c r="C102" s="1">
        <f t="shared" si="23"/>
        <v>0.39636935135124035</v>
      </c>
      <c r="D102" s="1">
        <f t="shared" si="24"/>
        <v>0.64788371459991212</v>
      </c>
      <c r="E102" s="82"/>
      <c r="F102" s="30"/>
      <c r="G102" s="1">
        <f t="shared" si="25"/>
        <v>0.41952949894099717</v>
      </c>
      <c r="H102" s="1">
        <f t="shared" si="26"/>
        <v>0.38121254840347385</v>
      </c>
      <c r="I102" s="1">
        <f t="shared" si="27"/>
        <v>0.61775237036338448</v>
      </c>
      <c r="K102" s="3">
        <f t="shared" si="18"/>
        <v>2.8613929368578934</v>
      </c>
      <c r="L102" s="3">
        <f t="shared" si="28"/>
        <v>4.744659956652356</v>
      </c>
      <c r="M102" s="3">
        <f t="shared" si="29"/>
        <v>3.321167611910691</v>
      </c>
      <c r="N102" s="2">
        <f t="shared" si="19"/>
        <v>46</v>
      </c>
      <c r="P102" s="2">
        <f t="shared" si="20"/>
        <v>62</v>
      </c>
      <c r="Q102" s="2">
        <f t="shared" si="21"/>
        <v>150</v>
      </c>
    </row>
    <row r="103" spans="2:17" x14ac:dyDescent="0.25">
      <c r="B103" s="1">
        <f t="shared" si="22"/>
        <v>0.5343082795084424</v>
      </c>
      <c r="C103" s="1">
        <f t="shared" si="23"/>
        <v>0.61737751498133753</v>
      </c>
      <c r="D103" s="1">
        <f t="shared" si="24"/>
        <v>0.44720759160314161</v>
      </c>
      <c r="E103" s="83"/>
      <c r="F103" s="31"/>
      <c r="G103" s="1">
        <f t="shared" si="25"/>
        <v>0.56058751017829223</v>
      </c>
      <c r="H103" s="1">
        <f t="shared" si="26"/>
        <v>0.64082390635607345</v>
      </c>
      <c r="I103" s="1">
        <f t="shared" si="27"/>
        <v>0.42398974129318789</v>
      </c>
      <c r="K103" s="3">
        <f t="shared" si="18"/>
        <v>5.3229937678972128</v>
      </c>
      <c r="L103" s="3">
        <f t="shared" si="28"/>
        <v>5.3798682193129252</v>
      </c>
      <c r="M103" s="3">
        <f t="shared" si="29"/>
        <v>7.7566307531748091</v>
      </c>
      <c r="N103" s="2">
        <f t="shared" si="19"/>
        <v>69</v>
      </c>
      <c r="P103" s="2">
        <f t="shared" si="20"/>
        <v>150</v>
      </c>
      <c r="Q103" s="2">
        <f t="shared" si="21"/>
        <v>71</v>
      </c>
    </row>
    <row r="104" spans="2:17" x14ac:dyDescent="0.25">
      <c r="B104" s="1">
        <f t="shared" si="22"/>
        <v>0.59557516084319106</v>
      </c>
      <c r="C104" s="1">
        <f t="shared" si="23"/>
        <v>0.48933949492623185</v>
      </c>
      <c r="D104" s="1">
        <f t="shared" si="24"/>
        <v>0.35987412765724769</v>
      </c>
      <c r="E104" s="84"/>
      <c r="F104" s="32"/>
      <c r="G104" s="1">
        <f t="shared" si="25"/>
        <v>0.62442204071452834</v>
      </c>
      <c r="H104" s="1">
        <f t="shared" si="26"/>
        <v>0.51037016666862312</v>
      </c>
      <c r="I104" s="1">
        <f t="shared" si="27"/>
        <v>0.32400766152603167</v>
      </c>
      <c r="K104" s="3">
        <f t="shared" si="18"/>
        <v>5.4584944003119373</v>
      </c>
      <c r="L104" s="3">
        <f t="shared" si="28"/>
        <v>9.0335602022759502</v>
      </c>
      <c r="M104" s="3">
        <f t="shared" si="29"/>
        <v>7.9472913233967724</v>
      </c>
      <c r="N104" s="2">
        <f t="shared" si="19"/>
        <v>178</v>
      </c>
      <c r="P104" s="2">
        <f t="shared" si="20"/>
        <v>46</v>
      </c>
      <c r="Q104" s="2">
        <f t="shared" si="21"/>
        <v>57</v>
      </c>
    </row>
    <row r="105" spans="2:17" x14ac:dyDescent="0.25">
      <c r="B105" s="1">
        <f t="shared" si="22"/>
        <v>0.83892888231964979</v>
      </c>
      <c r="C105" s="1">
        <f t="shared" si="23"/>
        <v>0.84140483217889683</v>
      </c>
      <c r="D105" s="1">
        <f t="shared" si="24"/>
        <v>0.44475629488614138</v>
      </c>
      <c r="E105" s="85"/>
      <c r="F105" s="33"/>
      <c r="G105" s="1">
        <f t="shared" si="25"/>
        <v>0.83179032243611939</v>
      </c>
      <c r="H105" s="1">
        <f t="shared" si="26"/>
        <v>0.84002568953613344</v>
      </c>
      <c r="I105" s="1">
        <f t="shared" si="27"/>
        <v>0.42882202326242413</v>
      </c>
      <c r="K105" s="3">
        <f t="shared" si="18"/>
        <v>1.4392742188196979</v>
      </c>
      <c r="L105" s="3">
        <f t="shared" si="28"/>
        <v>3.0043857443626791</v>
      </c>
      <c r="M105" s="3">
        <f t="shared" si="29"/>
        <v>2.7821680796582866</v>
      </c>
      <c r="N105" s="2">
        <f t="shared" si="19"/>
        <v>238</v>
      </c>
      <c r="P105" s="2">
        <f t="shared" si="20"/>
        <v>200</v>
      </c>
      <c r="Q105" s="2">
        <f t="shared" si="21"/>
        <v>27</v>
      </c>
    </row>
    <row r="106" spans="2:17" x14ac:dyDescent="0.25">
      <c r="B106" s="1">
        <f t="shared" si="22"/>
        <v>0.67769581691306768</v>
      </c>
      <c r="C106" s="1">
        <f t="shared" si="23"/>
        <v>0.57945717699026611</v>
      </c>
      <c r="D106" s="1">
        <f t="shared" si="24"/>
        <v>0.65222128329707152</v>
      </c>
      <c r="E106" s="86"/>
      <c r="F106" s="34"/>
      <c r="G106" s="1">
        <f t="shared" si="25"/>
        <v>0.6949155195177199</v>
      </c>
      <c r="H106" s="1">
        <f t="shared" si="26"/>
        <v>0.59819387218474696</v>
      </c>
      <c r="I106" s="1">
        <f t="shared" si="27"/>
        <v>0.65936025773057771</v>
      </c>
      <c r="K106" s="3">
        <f t="shared" si="18"/>
        <v>2.4929789961667757</v>
      </c>
      <c r="L106" s="3">
        <f t="shared" si="28"/>
        <v>1.3457089791764716</v>
      </c>
      <c r="M106" s="3">
        <f t="shared" si="29"/>
        <v>2.035846027268331</v>
      </c>
      <c r="N106" s="2">
        <f t="shared" si="19"/>
        <v>189</v>
      </c>
      <c r="P106" s="2">
        <f t="shared" si="20"/>
        <v>85</v>
      </c>
      <c r="Q106" s="2">
        <f t="shared" si="21"/>
        <v>148</v>
      </c>
    </row>
    <row r="107" spans="2:17" x14ac:dyDescent="0.25">
      <c r="B107" s="1">
        <f t="shared" si="22"/>
        <v>0.55015455120950718</v>
      </c>
      <c r="C107" s="1">
        <f t="shared" si="23"/>
        <v>0.59099845544014296</v>
      </c>
      <c r="D107" s="1">
        <f t="shared" si="24"/>
        <v>0.711514472424432</v>
      </c>
      <c r="E107" s="87"/>
      <c r="F107" s="35"/>
      <c r="G107" s="1">
        <f t="shared" si="25"/>
        <v>0.54669547539542984</v>
      </c>
      <c r="H107" s="1">
        <f t="shared" si="26"/>
        <v>0.59464319551808842</v>
      </c>
      <c r="I107" s="1">
        <f t="shared" si="27"/>
        <v>0.68972790971683218</v>
      </c>
      <c r="K107" s="3">
        <f t="shared" si="18"/>
        <v>4.1965350940630248</v>
      </c>
      <c r="L107" s="3">
        <f t="shared" si="28"/>
        <v>0.99097160293149145</v>
      </c>
      <c r="M107" s="3">
        <f t="shared" si="29"/>
        <v>6.1240568085155518</v>
      </c>
      <c r="N107" s="2">
        <f t="shared" si="19"/>
        <v>0</v>
      </c>
      <c r="P107" s="2">
        <f t="shared" si="20"/>
        <v>137</v>
      </c>
      <c r="Q107" s="2">
        <f t="shared" si="21"/>
        <v>166</v>
      </c>
    </row>
    <row r="108" spans="2:17" x14ac:dyDescent="0.25">
      <c r="B108" s="1">
        <f t="shared" si="22"/>
        <v>0.96003952715735785</v>
      </c>
      <c r="C108" s="1">
        <f t="shared" si="23"/>
        <v>0.96072004626451324</v>
      </c>
      <c r="D108" s="1">
        <f t="shared" si="24"/>
        <v>0.95591782074427079</v>
      </c>
      <c r="E108" s="88"/>
      <c r="F108" s="36"/>
      <c r="G108" s="1">
        <f t="shared" si="25"/>
        <v>0.90492277201614757</v>
      </c>
      <c r="H108" s="1">
        <f t="shared" si="26"/>
        <v>0.90552372266484948</v>
      </c>
      <c r="I108" s="1">
        <f t="shared" si="27"/>
        <v>0.8667281602164173</v>
      </c>
      <c r="K108" s="3">
        <f t="shared" si="18"/>
        <v>9.126594438091848</v>
      </c>
      <c r="L108" s="3">
        <f t="shared" si="28"/>
        <v>6.7459919475692356</v>
      </c>
      <c r="M108" s="3">
        <f t="shared" si="29"/>
        <v>0.84560844884810715</v>
      </c>
      <c r="N108" s="2">
        <f t="shared" si="19"/>
        <v>242</v>
      </c>
      <c r="P108" s="2">
        <f t="shared" si="20"/>
        <v>242</v>
      </c>
      <c r="Q108" s="2">
        <f t="shared" si="21"/>
        <v>240</v>
      </c>
    </row>
    <row r="109" spans="2:17" x14ac:dyDescent="0.25">
      <c r="B109" s="1">
        <f t="shared" si="22"/>
        <v>0.83592577213051977</v>
      </c>
      <c r="C109" s="1">
        <f t="shared" si="23"/>
        <v>0.83590527813270143</v>
      </c>
      <c r="D109" s="1">
        <f t="shared" si="24"/>
        <v>0.83591292750627233</v>
      </c>
      <c r="E109" s="89"/>
      <c r="F109" s="37"/>
      <c r="G109" s="1">
        <f t="shared" si="25"/>
        <v>0.83029032755798349</v>
      </c>
      <c r="H109" s="1">
        <f t="shared" si="26"/>
        <v>0.83156631116205804</v>
      </c>
      <c r="I109" s="1">
        <f t="shared" si="27"/>
        <v>0.80096062999256368</v>
      </c>
      <c r="K109" s="3">
        <f t="shared" si="18"/>
        <v>6.1745738302283053</v>
      </c>
      <c r="L109" s="3">
        <f t="shared" si="28"/>
        <v>6.1439340507046625</v>
      </c>
      <c r="M109" s="3">
        <f t="shared" si="29"/>
        <v>0.39915936817662112</v>
      </c>
      <c r="N109" s="2">
        <f t="shared" si="19"/>
        <v>201</v>
      </c>
      <c r="P109" s="2">
        <f t="shared" si="20"/>
        <v>201</v>
      </c>
      <c r="Q109" s="2">
        <f t="shared" si="21"/>
        <v>201</v>
      </c>
    </row>
    <row r="110" spans="2:17" x14ac:dyDescent="0.25">
      <c r="B110" s="1">
        <f t="shared" si="22"/>
        <v>0.70901695213286975</v>
      </c>
      <c r="C110" s="1">
        <f t="shared" si="23"/>
        <v>0.70899956949872367</v>
      </c>
      <c r="D110" s="1">
        <f t="shared" si="24"/>
        <v>0.70900605755749124</v>
      </c>
      <c r="E110" s="90"/>
      <c r="F110" s="38"/>
      <c r="G110" s="1">
        <f t="shared" si="25"/>
        <v>0.73926350976976218</v>
      </c>
      <c r="H110" s="1">
        <f t="shared" si="26"/>
        <v>0.73944626912939526</v>
      </c>
      <c r="I110" s="1">
        <f t="shared" si="27"/>
        <v>0.71358070350986347</v>
      </c>
      <c r="K110" s="3">
        <f t="shared" si="18"/>
        <v>6.2639570471689083</v>
      </c>
      <c r="L110" s="3">
        <f t="shared" si="28"/>
        <v>5.1651324924886994</v>
      </c>
      <c r="M110" s="3">
        <f t="shared" si="29"/>
        <v>0.32549500882210813</v>
      </c>
      <c r="N110" s="2">
        <f t="shared" si="19"/>
        <v>161</v>
      </c>
      <c r="P110" s="2">
        <f t="shared" si="20"/>
        <v>161</v>
      </c>
      <c r="Q110" s="2">
        <f t="shared" si="21"/>
        <v>161</v>
      </c>
    </row>
    <row r="111" spans="2:17" x14ac:dyDescent="0.25">
      <c r="B111" s="1">
        <f t="shared" si="22"/>
        <v>0.5863308624957132</v>
      </c>
      <c r="C111" s="1">
        <f t="shared" si="23"/>
        <v>0.58631648769855127</v>
      </c>
      <c r="D111" s="1">
        <f t="shared" si="24"/>
        <v>0.58632185308379581</v>
      </c>
      <c r="E111" s="91"/>
      <c r="F111" s="39">
        <v>0.18</v>
      </c>
      <c r="G111" s="1">
        <f t="shared" si="25"/>
        <v>0.60716146539925808</v>
      </c>
      <c r="H111" s="1">
        <f t="shared" si="26"/>
        <v>0.60590418903743615</v>
      </c>
      <c r="I111" s="1">
        <f t="shared" si="27"/>
        <v>0.58463629800842154</v>
      </c>
      <c r="K111" s="3">
        <f t="shared" si="18"/>
        <v>4.8619925535519313</v>
      </c>
      <c r="L111" s="3">
        <f t="shared" si="28"/>
        <v>4.2925135735488276</v>
      </c>
      <c r="M111" s="3">
        <f t="shared" si="29"/>
        <v>0.25017160996076593</v>
      </c>
      <c r="N111" s="2">
        <f t="shared" si="19"/>
        <v>124</v>
      </c>
      <c r="P111" s="2">
        <f t="shared" si="20"/>
        <v>124</v>
      </c>
      <c r="Q111" s="2">
        <f t="shared" si="21"/>
        <v>124</v>
      </c>
    </row>
    <row r="112" spans="2:17" x14ac:dyDescent="0.25">
      <c r="B112" s="1">
        <f t="shared" si="22"/>
        <v>0.45300588976468803</v>
      </c>
      <c r="C112" s="1">
        <f t="shared" si="23"/>
        <v>0.45292621270520395</v>
      </c>
      <c r="D112" s="1">
        <f t="shared" si="24"/>
        <v>0.45942986484807741</v>
      </c>
      <c r="E112" s="92"/>
      <c r="F112" s="40"/>
      <c r="G112" s="1">
        <f t="shared" si="25"/>
        <v>0.45493472470249618</v>
      </c>
      <c r="H112" s="1">
        <f t="shared" si="26"/>
        <v>0.45249954375099716</v>
      </c>
      <c r="I112" s="1">
        <f t="shared" si="27"/>
        <v>0.43038803077261722</v>
      </c>
      <c r="K112" s="3">
        <f t="shared" si="18"/>
        <v>5.6653287640937018</v>
      </c>
      <c r="L112" s="3">
        <f t="shared" si="28"/>
        <v>3.2855198657750702</v>
      </c>
      <c r="M112" s="3">
        <f t="shared" si="29"/>
        <v>4.8317249357331615</v>
      </c>
      <c r="N112" s="2">
        <f t="shared" si="19"/>
        <v>85</v>
      </c>
      <c r="P112" s="2">
        <f t="shared" si="20"/>
        <v>86</v>
      </c>
      <c r="Q112" s="2">
        <f t="shared" si="21"/>
        <v>88</v>
      </c>
    </row>
    <row r="113" spans="1:17" x14ac:dyDescent="0.25">
      <c r="B113" s="1">
        <f t="shared" si="22"/>
        <v>0.3226254871417879</v>
      </c>
      <c r="C113" s="1">
        <f t="shared" si="23"/>
        <v>0.32167403408013917</v>
      </c>
      <c r="D113" s="1">
        <f t="shared" si="24"/>
        <v>0.32799105430288555</v>
      </c>
      <c r="E113" s="93"/>
      <c r="F113" s="41"/>
      <c r="G113" s="1">
        <f t="shared" si="25"/>
        <v>0.22977416292413677</v>
      </c>
      <c r="H113" s="1">
        <f t="shared" si="26"/>
        <v>0.21801036046394603</v>
      </c>
      <c r="I113" s="1">
        <f t="shared" si="27"/>
        <v>0.21044367444807452</v>
      </c>
      <c r="K113" s="3">
        <f t="shared" si="18"/>
        <v>13.359644635592558</v>
      </c>
      <c r="L113" s="3">
        <f t="shared" si="28"/>
        <v>4.7234608563648557</v>
      </c>
      <c r="M113" s="3">
        <f t="shared" si="29"/>
        <v>3.8243867971527674</v>
      </c>
      <c r="N113" s="2">
        <f t="shared" si="19"/>
        <v>51</v>
      </c>
      <c r="P113" s="2">
        <f t="shared" si="20"/>
        <v>51</v>
      </c>
      <c r="Q113" s="2">
        <f t="shared" si="21"/>
        <v>53</v>
      </c>
    </row>
    <row r="114" spans="1:17" x14ac:dyDescent="0.25">
      <c r="B114" s="3"/>
      <c r="C114" s="3"/>
      <c r="D114" s="3"/>
      <c r="E114" s="3"/>
    </row>
    <row r="115" spans="1:17" x14ac:dyDescent="0.25">
      <c r="B115" s="2" t="s">
        <v>8</v>
      </c>
      <c r="C115" s="2" t="s">
        <v>9</v>
      </c>
      <c r="D115" s="2" t="s">
        <v>10</v>
      </c>
      <c r="G115" s="2" t="s">
        <v>11</v>
      </c>
      <c r="H115" s="2" t="s">
        <v>12</v>
      </c>
      <c r="I115" s="2" t="s">
        <v>13</v>
      </c>
      <c r="K115" s="3" t="str">
        <f>L11</f>
        <v>Δlightness</v>
      </c>
    </row>
    <row r="116" spans="1:17" x14ac:dyDescent="0.25">
      <c r="A116" s="2">
        <v>1</v>
      </c>
      <c r="B116" s="1">
        <f>(116*C90)-16</f>
        <v>37.011655113135959</v>
      </c>
      <c r="C116" s="1">
        <f>500*(B90-C90)</f>
        <v>14.291148591299235</v>
      </c>
      <c r="D116" s="1">
        <f>200*(C90-D90)</f>
        <v>14.170062182175446</v>
      </c>
      <c r="E116" s="70"/>
      <c r="F116" s="18"/>
      <c r="G116" s="1">
        <f>(116*H90)-16</f>
        <v>43.555766097349291</v>
      </c>
      <c r="H116" s="1">
        <f>500*(G90-H90)</f>
        <v>15.249170582369464</v>
      </c>
      <c r="I116" s="1">
        <f>200*(H90-I90)</f>
        <v>21.087070525799277</v>
      </c>
      <c r="K116" s="3">
        <f t="shared" ref="K116:K139" si="30">ABS(L12)</f>
        <v>6.5441109842133329</v>
      </c>
    </row>
    <row r="117" spans="1:17" x14ac:dyDescent="0.25">
      <c r="A117" s="2">
        <v>2</v>
      </c>
      <c r="B117" s="1">
        <f t="shared" ref="B117:B139" si="31">(116*C91)-16</f>
        <v>65.979067891436941</v>
      </c>
      <c r="C117" s="1">
        <f t="shared" ref="C117:C139" si="32">500*(B91-C91)</f>
        <v>14.872501906295799</v>
      </c>
      <c r="D117" s="1">
        <f t="shared" ref="D117:D139" si="33">200*(C91-D91)</f>
        <v>17.376701576444908</v>
      </c>
      <c r="E117" s="71"/>
      <c r="F117" s="19"/>
      <c r="G117" s="1">
        <f t="shared" ref="G117:G139" si="34">(116*H91)-16</f>
        <v>70.873641742866198</v>
      </c>
      <c r="H117" s="1">
        <f t="shared" ref="H117:H139" si="35">500*(G91-H91)</f>
        <v>17.229690063179536</v>
      </c>
      <c r="I117" s="1">
        <f t="shared" ref="I117:I139" si="36">200*(H91-I91)</f>
        <v>20.14727601342916</v>
      </c>
      <c r="K117" s="3">
        <f t="shared" si="30"/>
        <v>4.8945738514292572</v>
      </c>
    </row>
    <row r="118" spans="1:17" x14ac:dyDescent="0.25">
      <c r="A118" s="2">
        <v>3</v>
      </c>
      <c r="B118" s="1">
        <f t="shared" si="31"/>
        <v>50.453536337458999</v>
      </c>
      <c r="C118" s="1">
        <f t="shared" si="32"/>
        <v>-0.1968289262999634</v>
      </c>
      <c r="D118" s="1">
        <f t="shared" si="33"/>
        <v>-23.058034655635005</v>
      </c>
      <c r="E118" s="72"/>
      <c r="F118" s="20"/>
      <c r="G118" s="1">
        <f t="shared" si="34"/>
        <v>59.995869451838701</v>
      </c>
      <c r="H118" s="1">
        <f t="shared" si="35"/>
        <v>-3.4869330368044738</v>
      </c>
      <c r="I118" s="1">
        <f t="shared" si="36"/>
        <v>-11.850879127872549</v>
      </c>
      <c r="K118" s="3">
        <f t="shared" si="30"/>
        <v>9.5423331143797014</v>
      </c>
    </row>
    <row r="119" spans="1:17" x14ac:dyDescent="0.25">
      <c r="A119" s="2">
        <v>4</v>
      </c>
      <c r="B119" s="1">
        <f t="shared" si="31"/>
        <v>42.669354339898902</v>
      </c>
      <c r="C119" s="1">
        <f t="shared" si="32"/>
        <v>-15.649847532534123</v>
      </c>
      <c r="D119" s="1">
        <f t="shared" si="33"/>
        <v>22.912237534611315</v>
      </c>
      <c r="E119" s="73"/>
      <c r="F119" s="21"/>
      <c r="G119" s="1">
        <f t="shared" si="34"/>
        <v>53.653170330361235</v>
      </c>
      <c r="H119" s="1">
        <f t="shared" si="35"/>
        <v>-18.021784093837589</v>
      </c>
      <c r="I119" s="1">
        <f t="shared" si="36"/>
        <v>35.63173451481947</v>
      </c>
      <c r="K119" s="3">
        <f t="shared" si="30"/>
        <v>10.983815990462332</v>
      </c>
    </row>
    <row r="120" spans="1:17" x14ac:dyDescent="0.25">
      <c r="A120" s="2">
        <v>5</v>
      </c>
      <c r="B120" s="1">
        <f t="shared" si="31"/>
        <v>56.518749905249834</v>
      </c>
      <c r="C120" s="1">
        <f t="shared" si="32"/>
        <v>11.264044956711516</v>
      </c>
      <c r="D120" s="1">
        <f t="shared" si="33"/>
        <v>-24.457195294088628</v>
      </c>
      <c r="E120" s="74"/>
      <c r="F120" s="22"/>
      <c r="G120" s="1">
        <f t="shared" si="34"/>
        <v>65.373335427116004</v>
      </c>
      <c r="H120" s="1">
        <f t="shared" si="35"/>
        <v>7.7924489922412405</v>
      </c>
      <c r="I120" s="1">
        <f t="shared" si="36"/>
        <v>-14.336900525941054</v>
      </c>
      <c r="K120" s="3">
        <f t="shared" si="30"/>
        <v>8.85458552186617</v>
      </c>
    </row>
    <row r="121" spans="1:17" x14ac:dyDescent="0.25">
      <c r="A121" s="2">
        <v>6</v>
      </c>
      <c r="B121" s="1">
        <f t="shared" si="31"/>
        <v>70.953426156920472</v>
      </c>
      <c r="C121" s="1">
        <f t="shared" si="32"/>
        <v>-30.877013367326846</v>
      </c>
      <c r="D121" s="1">
        <f t="shared" si="33"/>
        <v>1.4719335292381563</v>
      </c>
      <c r="E121" s="75"/>
      <c r="F121" s="23"/>
      <c r="G121" s="1">
        <f t="shared" si="34"/>
        <v>75.386665942311396</v>
      </c>
      <c r="H121" s="1">
        <f t="shared" si="35"/>
        <v>-24.356233139366246</v>
      </c>
      <c r="I121" s="1">
        <f t="shared" si="36"/>
        <v>5.405613382455754</v>
      </c>
      <c r="K121" s="3">
        <f t="shared" si="30"/>
        <v>4.4332397853909242</v>
      </c>
    </row>
    <row r="122" spans="1:17" x14ac:dyDescent="0.25">
      <c r="A122" s="2">
        <v>7</v>
      </c>
      <c r="B122" s="1">
        <f t="shared" si="31"/>
        <v>60.988951185627499</v>
      </c>
      <c r="C122" s="1">
        <f t="shared" si="32"/>
        <v>31.258319752582697</v>
      </c>
      <c r="D122" s="1">
        <f t="shared" si="33"/>
        <v>57.385058838527989</v>
      </c>
      <c r="E122" s="76"/>
      <c r="F122" s="24"/>
      <c r="G122" s="1">
        <f t="shared" si="34"/>
        <v>60.407400725028566</v>
      </c>
      <c r="H122" s="1">
        <f t="shared" si="35"/>
        <v>31.341616153833296</v>
      </c>
      <c r="I122" s="1">
        <f t="shared" si="36"/>
        <v>64.920110099283619</v>
      </c>
      <c r="K122" s="3">
        <f t="shared" si="30"/>
        <v>0.58155046059893323</v>
      </c>
    </row>
    <row r="123" spans="1:17" x14ac:dyDescent="0.25">
      <c r="A123" s="2">
        <v>8</v>
      </c>
      <c r="B123" s="1">
        <f t="shared" si="31"/>
        <v>41.114700042652203</v>
      </c>
      <c r="C123" s="1">
        <f t="shared" si="32"/>
        <v>16.087765839107814</v>
      </c>
      <c r="D123" s="1">
        <f t="shared" si="33"/>
        <v>-43.099940836190065</v>
      </c>
      <c r="E123" s="77"/>
      <c r="F123" s="25"/>
      <c r="G123" s="1">
        <f t="shared" si="34"/>
        <v>47.787862250240465</v>
      </c>
      <c r="H123" s="1">
        <f t="shared" si="35"/>
        <v>6.5552026242087225</v>
      </c>
      <c r="I123" s="1">
        <f t="shared" si="36"/>
        <v>-34.929164792488329</v>
      </c>
      <c r="K123" s="3">
        <f t="shared" si="30"/>
        <v>6.6731622075882626</v>
      </c>
    </row>
    <row r="124" spans="1:17" x14ac:dyDescent="0.25">
      <c r="A124" s="2">
        <v>9</v>
      </c>
      <c r="B124" s="1">
        <f t="shared" si="31"/>
        <v>51.003338081102441</v>
      </c>
      <c r="C124" s="1">
        <f t="shared" si="32"/>
        <v>45.974479504445107</v>
      </c>
      <c r="D124" s="1">
        <f t="shared" si="33"/>
        <v>14.530270519613309</v>
      </c>
      <c r="E124" s="78"/>
      <c r="F124" s="26"/>
      <c r="G124" s="1">
        <f t="shared" si="34"/>
        <v>53.382366518950846</v>
      </c>
      <c r="H124" s="1">
        <f t="shared" si="35"/>
        <v>51.296742882425917</v>
      </c>
      <c r="I124" s="1">
        <f t="shared" si="36"/>
        <v>19.397441853037044</v>
      </c>
      <c r="K124" s="3">
        <f t="shared" si="30"/>
        <v>2.3790284378484046</v>
      </c>
    </row>
    <row r="125" spans="1:17" x14ac:dyDescent="0.25">
      <c r="A125" s="2">
        <v>10</v>
      </c>
      <c r="B125" s="1">
        <f t="shared" si="31"/>
        <v>30.512480272973491</v>
      </c>
      <c r="C125" s="1">
        <f t="shared" si="32"/>
        <v>25.117829106865496</v>
      </c>
      <c r="D125" s="1">
        <f t="shared" si="33"/>
        <v>-21.745471572318532</v>
      </c>
      <c r="E125" s="79"/>
      <c r="F125" s="27"/>
      <c r="G125" s="1">
        <f t="shared" si="34"/>
        <v>34.049626471116241</v>
      </c>
      <c r="H125" s="1">
        <f t="shared" si="35"/>
        <v>25.584712418231376</v>
      </c>
      <c r="I125" s="1">
        <f t="shared" si="36"/>
        <v>-19.470933241338606</v>
      </c>
      <c r="K125" s="3">
        <f t="shared" si="30"/>
        <v>3.5371461981427501</v>
      </c>
    </row>
    <row r="126" spans="1:17" x14ac:dyDescent="0.25">
      <c r="A126" s="2">
        <v>11</v>
      </c>
      <c r="B126" s="1">
        <f t="shared" si="31"/>
        <v>72.01756256978048</v>
      </c>
      <c r="C126" s="1">
        <f t="shared" si="32"/>
        <v>-27.419683107175132</v>
      </c>
      <c r="D126" s="1">
        <f t="shared" si="33"/>
        <v>57.926980118459667</v>
      </c>
      <c r="E126" s="80"/>
      <c r="F126" s="28"/>
      <c r="G126" s="1">
        <f t="shared" si="34"/>
        <v>73.985987809111791</v>
      </c>
      <c r="H126" s="1">
        <f t="shared" si="35"/>
        <v>-25.941199025483364</v>
      </c>
      <c r="I126" s="1">
        <f t="shared" si="36"/>
        <v>74.032097827139822</v>
      </c>
      <c r="K126" s="3">
        <f t="shared" si="30"/>
        <v>1.9684252393313102</v>
      </c>
    </row>
    <row r="127" spans="1:17" x14ac:dyDescent="0.25">
      <c r="A127" s="2">
        <v>12</v>
      </c>
      <c r="B127" s="1">
        <f t="shared" si="31"/>
        <v>71.703079183239225</v>
      </c>
      <c r="C127" s="1">
        <f t="shared" si="32"/>
        <v>15.186878660562897</v>
      </c>
      <c r="D127" s="1">
        <f t="shared" si="33"/>
        <v>65.762382653039879</v>
      </c>
      <c r="E127" s="81"/>
      <c r="F127" s="29"/>
      <c r="G127" s="1">
        <f t="shared" si="34"/>
        <v>72.070695783369061</v>
      </c>
      <c r="H127" s="1">
        <f t="shared" si="35"/>
        <v>8.2945365537319677</v>
      </c>
      <c r="I127" s="1">
        <f t="shared" si="36"/>
        <v>74.954538351397332</v>
      </c>
      <c r="K127" s="3">
        <f t="shared" si="30"/>
        <v>0.36761660012983555</v>
      </c>
    </row>
    <row r="128" spans="1:17" x14ac:dyDescent="0.25">
      <c r="A128" s="2">
        <v>13</v>
      </c>
      <c r="B128" s="1">
        <f t="shared" si="31"/>
        <v>29.978844756743882</v>
      </c>
      <c r="C128" s="1">
        <f t="shared" si="32"/>
        <v>24.115538606899715</v>
      </c>
      <c r="D128" s="1">
        <f t="shared" si="33"/>
        <v>-50.302872649734354</v>
      </c>
      <c r="E128" s="82"/>
      <c r="F128" s="30"/>
      <c r="G128" s="1">
        <f t="shared" si="34"/>
        <v>28.220655614802965</v>
      </c>
      <c r="H128" s="1">
        <f t="shared" si="35"/>
        <v>19.158475268761659</v>
      </c>
      <c r="I128" s="1">
        <f t="shared" si="36"/>
        <v>-47.307964391982125</v>
      </c>
      <c r="K128" s="3">
        <f t="shared" si="30"/>
        <v>1.7581891419409175</v>
      </c>
    </row>
    <row r="129" spans="1:11" x14ac:dyDescent="0.25">
      <c r="A129" s="2">
        <v>14</v>
      </c>
      <c r="B129" s="1">
        <f t="shared" si="31"/>
        <v>55.615791737835153</v>
      </c>
      <c r="C129" s="1">
        <f t="shared" si="32"/>
        <v>-41.534617736447565</v>
      </c>
      <c r="D129" s="1">
        <f t="shared" si="33"/>
        <v>34.033984675639182</v>
      </c>
      <c r="E129" s="83"/>
      <c r="F129" s="31"/>
      <c r="G129" s="1">
        <f t="shared" si="34"/>
        <v>58.335573137304522</v>
      </c>
      <c r="H129" s="1">
        <f t="shared" si="35"/>
        <v>-40.118198088890608</v>
      </c>
      <c r="I129" s="1">
        <f t="shared" si="36"/>
        <v>43.366833012577111</v>
      </c>
      <c r="K129" s="3">
        <f t="shared" si="30"/>
        <v>2.7197813994693689</v>
      </c>
    </row>
    <row r="130" spans="1:11" x14ac:dyDescent="0.25">
      <c r="A130" s="2">
        <v>15</v>
      </c>
      <c r="B130" s="1">
        <f t="shared" si="31"/>
        <v>40.763381411442893</v>
      </c>
      <c r="C130" s="1">
        <f t="shared" si="32"/>
        <v>53.117832958479603</v>
      </c>
      <c r="D130" s="1">
        <f t="shared" si="33"/>
        <v>25.893073453796834</v>
      </c>
      <c r="E130" s="84"/>
      <c r="F130" s="32"/>
      <c r="G130" s="1">
        <f t="shared" si="34"/>
        <v>43.20293933356028</v>
      </c>
      <c r="H130" s="1">
        <f t="shared" si="35"/>
        <v>57.025937022952611</v>
      </c>
      <c r="I130" s="1">
        <f t="shared" si="36"/>
        <v>37.272501028518292</v>
      </c>
      <c r="K130" s="3">
        <f t="shared" si="30"/>
        <v>2.4395579221173875</v>
      </c>
    </row>
    <row r="131" spans="1:11" x14ac:dyDescent="0.25">
      <c r="A131" s="2">
        <v>16</v>
      </c>
      <c r="B131" s="1">
        <f t="shared" si="31"/>
        <v>81.602960532752036</v>
      </c>
      <c r="C131" s="1">
        <f t="shared" si="32"/>
        <v>-1.2379749296235198</v>
      </c>
      <c r="D131" s="1">
        <f t="shared" si="33"/>
        <v>79.329707458551084</v>
      </c>
      <c r="E131" s="85"/>
      <c r="F131" s="33"/>
      <c r="G131" s="1">
        <f t="shared" si="34"/>
        <v>81.442979986191474</v>
      </c>
      <c r="H131" s="1">
        <f t="shared" si="35"/>
        <v>-4.1176835500070226</v>
      </c>
      <c r="I131" s="1">
        <f t="shared" si="36"/>
        <v>82.240733254741855</v>
      </c>
      <c r="K131" s="3">
        <f t="shared" si="30"/>
        <v>0.15998054656056127</v>
      </c>
    </row>
    <row r="132" spans="1:11" x14ac:dyDescent="0.25">
      <c r="A132" s="2">
        <v>17</v>
      </c>
      <c r="B132" s="1">
        <f t="shared" si="31"/>
        <v>51.217032530870867</v>
      </c>
      <c r="C132" s="1">
        <f t="shared" si="32"/>
        <v>49.119319961400784</v>
      </c>
      <c r="D132" s="1">
        <f t="shared" si="33"/>
        <v>-14.552821261361082</v>
      </c>
      <c r="E132" s="86"/>
      <c r="F132" s="34"/>
      <c r="G132" s="1">
        <f t="shared" si="34"/>
        <v>53.390489173430652</v>
      </c>
      <c r="H132" s="1">
        <f t="shared" si="35"/>
        <v>48.360823666486475</v>
      </c>
      <c r="I132" s="1">
        <f t="shared" si="36"/>
        <v>-12.233277109166153</v>
      </c>
      <c r="K132" s="3">
        <f t="shared" si="30"/>
        <v>2.1734566425597848</v>
      </c>
    </row>
    <row r="133" spans="1:11" x14ac:dyDescent="0.25">
      <c r="A133" s="2">
        <v>18</v>
      </c>
      <c r="B133" s="1">
        <f t="shared" si="31"/>
        <v>52.555820831056579</v>
      </c>
      <c r="C133" s="1">
        <f t="shared" si="32"/>
        <v>-20.421952115317886</v>
      </c>
      <c r="D133" s="1">
        <f t="shared" si="33"/>
        <v>-24.103203396857808</v>
      </c>
      <c r="E133" s="87"/>
      <c r="F133" s="35"/>
      <c r="G133" s="1">
        <f t="shared" si="34"/>
        <v>52.978610680098257</v>
      </c>
      <c r="H133" s="1">
        <f t="shared" si="35"/>
        <v>-23.97386006132929</v>
      </c>
      <c r="I133" s="1">
        <f t="shared" si="36"/>
        <v>-19.016942839748751</v>
      </c>
      <c r="K133" s="3">
        <f t="shared" si="30"/>
        <v>0.42278984904167771</v>
      </c>
    </row>
    <row r="134" spans="1:11" x14ac:dyDescent="0.25">
      <c r="A134" s="2">
        <v>19</v>
      </c>
      <c r="B134" s="1">
        <f t="shared" si="31"/>
        <v>95.443525366683531</v>
      </c>
      <c r="C134" s="1">
        <f t="shared" si="32"/>
        <v>-0.34025955357769311</v>
      </c>
      <c r="D134" s="1">
        <f t="shared" si="33"/>
        <v>0.96044510404849071</v>
      </c>
      <c r="E134" s="88"/>
      <c r="F134" s="36"/>
      <c r="G134" s="1">
        <f t="shared" si="34"/>
        <v>89.040751829122541</v>
      </c>
      <c r="H134" s="1">
        <f t="shared" si="35"/>
        <v>-0.30047532435095725</v>
      </c>
      <c r="I134" s="1">
        <f t="shared" si="36"/>
        <v>7.7591124896864372</v>
      </c>
      <c r="K134" s="3">
        <f t="shared" si="30"/>
        <v>6.4027735375609893</v>
      </c>
    </row>
    <row r="135" spans="1:11" x14ac:dyDescent="0.25">
      <c r="A135" s="2">
        <v>20</v>
      </c>
      <c r="B135" s="1">
        <f t="shared" si="31"/>
        <v>80.965012263393362</v>
      </c>
      <c r="C135" s="1">
        <f t="shared" si="32"/>
        <v>1.0246998909169136E-2</v>
      </c>
      <c r="D135" s="1">
        <f t="shared" si="33"/>
        <v>-1.5298747141789804E-3</v>
      </c>
      <c r="E135" s="89"/>
      <c r="F135" s="37"/>
      <c r="G135" s="1">
        <f t="shared" si="34"/>
        <v>80.461692094798735</v>
      </c>
      <c r="H135" s="1">
        <f t="shared" si="35"/>
        <v>-0.63799180203727435</v>
      </c>
      <c r="I135" s="1">
        <f t="shared" si="36"/>
        <v>6.1211362338988717</v>
      </c>
      <c r="K135" s="3">
        <f t="shared" si="30"/>
        <v>0.50332016859462669</v>
      </c>
    </row>
    <row r="136" spans="1:11" x14ac:dyDescent="0.25">
      <c r="A136" s="2">
        <v>21</v>
      </c>
      <c r="B136" s="1">
        <f t="shared" si="31"/>
        <v>66.243950061851947</v>
      </c>
      <c r="C136" s="1">
        <f t="shared" si="32"/>
        <v>8.6913170730396061E-3</v>
      </c>
      <c r="D136" s="1">
        <f t="shared" si="33"/>
        <v>-1.2976117535146159E-3</v>
      </c>
      <c r="E136" s="90"/>
      <c r="F136" s="38"/>
      <c r="G136" s="1">
        <f t="shared" si="34"/>
        <v>69.77576721900985</v>
      </c>
      <c r="H136" s="1">
        <f t="shared" si="35"/>
        <v>-9.1379679816538939E-2</v>
      </c>
      <c r="I136" s="1">
        <f t="shared" si="36"/>
        <v>5.1731131239063588</v>
      </c>
      <c r="K136" s="3">
        <f t="shared" si="30"/>
        <v>3.5318171571579029</v>
      </c>
    </row>
    <row r="137" spans="1:11" x14ac:dyDescent="0.25">
      <c r="A137" s="2">
        <v>22</v>
      </c>
      <c r="B137" s="1">
        <f t="shared" si="31"/>
        <v>52.012712573031948</v>
      </c>
      <c r="C137" s="1">
        <f t="shared" si="32"/>
        <v>7.1873985809656205E-3</v>
      </c>
      <c r="D137" s="1">
        <f t="shared" si="33"/>
        <v>-1.073077048907578E-3</v>
      </c>
      <c r="E137" s="91"/>
      <c r="F137" s="39">
        <v>0.18</v>
      </c>
      <c r="G137" s="1">
        <f t="shared" si="34"/>
        <v>54.28488592834259</v>
      </c>
      <c r="H137" s="1">
        <f t="shared" si="35"/>
        <v>0.62863818091096757</v>
      </c>
      <c r="I137" s="1">
        <f t="shared" si="36"/>
        <v>4.2535782058029215</v>
      </c>
      <c r="K137" s="3">
        <f t="shared" si="30"/>
        <v>2.2721733553106418</v>
      </c>
    </row>
    <row r="138" spans="1:11" x14ac:dyDescent="0.25">
      <c r="A138" s="2">
        <v>23</v>
      </c>
      <c r="B138" s="1">
        <f>(116*C112)-16</f>
        <v>36.539440673803661</v>
      </c>
      <c r="C138" s="1">
        <f>500*(B112-C112)</f>
        <v>3.9838529742042272E-2</v>
      </c>
      <c r="D138" s="1">
        <f>200*(C112-D112)</f>
        <v>-1.3007304285746923</v>
      </c>
      <c r="E138" s="92"/>
      <c r="F138" s="40"/>
      <c r="G138" s="1">
        <f t="shared" si="34"/>
        <v>36.489947075115673</v>
      </c>
      <c r="H138" s="1">
        <f t="shared" si="35"/>
        <v>1.2175904757495137</v>
      </c>
      <c r="I138" s="1">
        <f t="shared" si="36"/>
        <v>4.4223025956759869</v>
      </c>
      <c r="K138" s="3">
        <f t="shared" si="30"/>
        <v>4.9493598687988083E-2</v>
      </c>
    </row>
    <row r="139" spans="1:11" x14ac:dyDescent="0.25">
      <c r="A139" s="2">
        <v>24</v>
      </c>
      <c r="B139" s="1">
        <f t="shared" si="31"/>
        <v>21.314187953296141</v>
      </c>
      <c r="C139" s="1">
        <f t="shared" si="32"/>
        <v>0.47572653082436633</v>
      </c>
      <c r="D139" s="1">
        <f t="shared" si="33"/>
        <v>-1.2634040445492767</v>
      </c>
      <c r="E139" s="93"/>
      <c r="F139" s="41"/>
      <c r="G139" s="1">
        <f t="shared" si="34"/>
        <v>9.2892018138177406</v>
      </c>
      <c r="H139" s="1">
        <f t="shared" si="35"/>
        <v>5.8819012300953686</v>
      </c>
      <c r="I139" s="1">
        <f t="shared" si="36"/>
        <v>1.5133372031743031</v>
      </c>
      <c r="K139" s="3">
        <f t="shared" si="30"/>
        <v>12.024986139478401</v>
      </c>
    </row>
    <row r="141" spans="1:11" x14ac:dyDescent="0.25">
      <c r="B141" s="4" t="s">
        <v>23</v>
      </c>
      <c r="C141" s="4" t="s">
        <v>21</v>
      </c>
      <c r="D141" s="4" t="s">
        <v>22</v>
      </c>
      <c r="E141" s="4"/>
      <c r="G141" s="2" t="s">
        <v>29</v>
      </c>
      <c r="H141" s="2" t="s">
        <v>30</v>
      </c>
      <c r="I141" s="2" t="s">
        <v>31</v>
      </c>
    </row>
    <row r="142" spans="1:11" x14ac:dyDescent="0.25">
      <c r="B142" s="1">
        <v>1</v>
      </c>
      <c r="C142" s="1">
        <f t="shared" ref="C142:C165" si="37">1+($P$75*SQRT(C116^2+D116^2))</f>
        <v>1.9056383772611774</v>
      </c>
      <c r="D142" s="1">
        <f t="shared" ref="D142:D165" si="38">1+($Q$75*SQRT(C116^2+D116^2))</f>
        <v>1.301879459087059</v>
      </c>
      <c r="E142" s="70"/>
      <c r="F142" s="18"/>
      <c r="G142" s="1">
        <f t="shared" ref="G142:G165" si="39">1/2*(1-SQRT((((SQRT(C116^2+D116^2)+SQRT(H116^2+I116^2))/2)^7)/((((SQRT(C116^2+D116^2)+SQRT(H116^2+I116^2))/2)^7)+(25^7))))</f>
        <v>0.19863348351241572</v>
      </c>
      <c r="H142" s="1">
        <f t="shared" ref="H142:H165" si="40">IF(ATAN2((C116*(1+G142)),D116)*180/PI()&gt;=0, ATAN2((C116*(1+G142)),D116)*180/PI(), ATAN2((C116*(1+G142)),D116)*180/PI()+360)</f>
        <v>39.598050878979265</v>
      </c>
      <c r="I142" s="1">
        <f t="shared" ref="I142:I165" si="41">IF(ATAN2((H116*(1+G142)),I116)*180/PI()&gt;=0, ATAN2((H116*(1+G142)),I116)*180/PI(), ATAN2((H116*(1+G142)),I116)*180/PI()+360)</f>
        <v>49.081419326349071</v>
      </c>
    </row>
    <row r="143" spans="1:11" x14ac:dyDescent="0.25">
      <c r="B143" s="1">
        <v>1</v>
      </c>
      <c r="C143" s="1">
        <f t="shared" si="37"/>
        <v>2.0292524802131546</v>
      </c>
      <c r="D143" s="1">
        <f t="shared" si="38"/>
        <v>1.3430841600710515</v>
      </c>
      <c r="E143" s="71"/>
      <c r="F143" s="19"/>
      <c r="G143" s="1">
        <f t="shared" si="39"/>
        <v>0.15421996677416588</v>
      </c>
      <c r="H143" s="1">
        <f t="shared" si="40"/>
        <v>45.349253771555695</v>
      </c>
      <c r="I143" s="1">
        <f t="shared" si="41"/>
        <v>45.372706245376392</v>
      </c>
    </row>
    <row r="144" spans="1:11" x14ac:dyDescent="0.25">
      <c r="B144" s="1">
        <v>1</v>
      </c>
      <c r="C144" s="1">
        <f t="shared" si="37"/>
        <v>2.0376493628430339</v>
      </c>
      <c r="D144" s="1">
        <f t="shared" si="38"/>
        <v>1.3458831209476778</v>
      </c>
      <c r="E144" s="72"/>
      <c r="F144" s="20"/>
      <c r="G144" s="1">
        <f t="shared" si="39"/>
        <v>0.35677637169524412</v>
      </c>
      <c r="H144" s="1">
        <f t="shared" si="40"/>
        <v>269.33644317154852</v>
      </c>
      <c r="I144" s="1">
        <f t="shared" si="41"/>
        <v>248.2376261398386</v>
      </c>
    </row>
    <row r="145" spans="2:9" x14ac:dyDescent="0.25">
      <c r="B145" s="1">
        <v>1</v>
      </c>
      <c r="C145" s="1">
        <f t="shared" si="37"/>
        <v>2.2486087946926698</v>
      </c>
      <c r="D145" s="1">
        <f t="shared" si="38"/>
        <v>1.4162029315642233</v>
      </c>
      <c r="E145" s="73"/>
      <c r="F145" s="21"/>
      <c r="G145" s="1">
        <f t="shared" si="39"/>
        <v>2.7575143881930997E-2</v>
      </c>
      <c r="H145" s="1">
        <f t="shared" si="40"/>
        <v>125.06383530045599</v>
      </c>
      <c r="I145" s="1">
        <f t="shared" si="41"/>
        <v>117.46207082080566</v>
      </c>
    </row>
    <row r="146" spans="2:9" x14ac:dyDescent="0.25">
      <c r="B146" s="1">
        <v>1</v>
      </c>
      <c r="C146" s="1">
        <f t="shared" si="37"/>
        <v>2.2116897493339698</v>
      </c>
      <c r="D146" s="1">
        <f t="shared" si="38"/>
        <v>1.4038965831113233</v>
      </c>
      <c r="E146" s="74"/>
      <c r="F146" s="22"/>
      <c r="G146" s="1">
        <f t="shared" si="39"/>
        <v>0.24222893672558266</v>
      </c>
      <c r="H146" s="1">
        <f t="shared" si="40"/>
        <v>299.774863835617</v>
      </c>
      <c r="I146" s="1">
        <f t="shared" si="41"/>
        <v>304.02648151214413</v>
      </c>
    </row>
    <row r="147" spans="2:9" x14ac:dyDescent="0.25">
      <c r="B147" s="1">
        <v>1</v>
      </c>
      <c r="C147" s="1">
        <f t="shared" si="37"/>
        <v>2.3910434929114066</v>
      </c>
      <c r="D147" s="1">
        <f t="shared" si="38"/>
        <v>1.4636811643038021</v>
      </c>
      <c r="E147" s="75"/>
      <c r="F147" s="23"/>
      <c r="G147" s="1">
        <f t="shared" si="39"/>
        <v>8.6238102485575618E-2</v>
      </c>
      <c r="H147" s="1">
        <f t="shared" si="40"/>
        <v>177.48711896977088</v>
      </c>
      <c r="I147" s="1">
        <f t="shared" si="41"/>
        <v>168.45229586805249</v>
      </c>
    </row>
    <row r="148" spans="2:9" x14ac:dyDescent="0.25">
      <c r="B148" s="1">
        <v>1</v>
      </c>
      <c r="C148" s="1">
        <f t="shared" si="37"/>
        <v>3.9405795774988714</v>
      </c>
      <c r="D148" s="1">
        <f t="shared" si="38"/>
        <v>1.9801931924996237</v>
      </c>
      <c r="E148" s="76"/>
      <c r="F148" s="24"/>
      <c r="G148" s="1">
        <f t="shared" si="39"/>
        <v>2.1074384017827352E-4</v>
      </c>
      <c r="H148" s="1">
        <f t="shared" si="40"/>
        <v>61.417275822386301</v>
      </c>
      <c r="I148" s="1">
        <f t="shared" si="41"/>
        <v>64.225319961422528</v>
      </c>
    </row>
    <row r="149" spans="2:9" x14ac:dyDescent="0.25">
      <c r="B149" s="1">
        <v>1</v>
      </c>
      <c r="C149" s="1">
        <f t="shared" si="37"/>
        <v>3.0702059673613453</v>
      </c>
      <c r="D149" s="1">
        <f t="shared" si="38"/>
        <v>1.690068655787115</v>
      </c>
      <c r="E149" s="77"/>
      <c r="F149" s="25"/>
      <c r="G149" s="1">
        <f t="shared" si="39"/>
        <v>7.9532393832113524E-3</v>
      </c>
      <c r="H149" s="1">
        <f t="shared" si="40"/>
        <v>290.6180674402151</v>
      </c>
      <c r="I149" s="1">
        <f t="shared" si="41"/>
        <v>280.71172520572259</v>
      </c>
    </row>
    <row r="150" spans="2:9" x14ac:dyDescent="0.25">
      <c r="B150" s="1">
        <v>1</v>
      </c>
      <c r="C150" s="1">
        <f t="shared" si="37"/>
        <v>3.1697194731883012</v>
      </c>
      <c r="D150" s="1">
        <f t="shared" si="38"/>
        <v>1.7232398243961002</v>
      </c>
      <c r="E150" s="78"/>
      <c r="F150" s="26"/>
      <c r="G150" s="1">
        <f t="shared" si="39"/>
        <v>1.5743853166795274E-3</v>
      </c>
      <c r="H150" s="1">
        <f t="shared" si="40"/>
        <v>17.513298559452636</v>
      </c>
      <c r="I150" s="1">
        <f t="shared" si="41"/>
        <v>20.68389764408618</v>
      </c>
    </row>
    <row r="151" spans="2:9" x14ac:dyDescent="0.25">
      <c r="B151" s="1">
        <v>1</v>
      </c>
      <c r="C151" s="1">
        <f t="shared" si="37"/>
        <v>2.4950371292085127</v>
      </c>
      <c r="D151" s="1">
        <f t="shared" si="38"/>
        <v>1.498345709736171</v>
      </c>
      <c r="E151" s="79"/>
      <c r="F151" s="27"/>
      <c r="G151" s="1">
        <f t="shared" si="39"/>
        <v>3.4372725440914687E-2</v>
      </c>
      <c r="H151" s="1">
        <f t="shared" si="40"/>
        <v>320.07169323570849</v>
      </c>
      <c r="I151" s="1">
        <f t="shared" si="41"/>
        <v>323.65629332156897</v>
      </c>
    </row>
    <row r="152" spans="2:9" x14ac:dyDescent="0.25">
      <c r="B152" s="1">
        <v>1</v>
      </c>
      <c r="C152" s="1">
        <f t="shared" si="37"/>
        <v>3.8839959164097673</v>
      </c>
      <c r="D152" s="1">
        <f t="shared" si="38"/>
        <v>1.9613319721365889</v>
      </c>
      <c r="E152" s="80"/>
      <c r="F152" s="28"/>
      <c r="G152" s="1">
        <f t="shared" si="39"/>
        <v>1.6333580796817904E-4</v>
      </c>
      <c r="H152" s="1">
        <f t="shared" si="40"/>
        <v>115.33411032055535</v>
      </c>
      <c r="I152" s="1">
        <f t="shared" si="41"/>
        <v>109.31362406051672</v>
      </c>
    </row>
    <row r="153" spans="2:9" x14ac:dyDescent="0.25">
      <c r="B153" s="1">
        <v>1</v>
      </c>
      <c r="C153" s="1">
        <f t="shared" si="37"/>
        <v>4.0371940698121991</v>
      </c>
      <c r="D153" s="1">
        <f t="shared" si="38"/>
        <v>2.012398023270733</v>
      </c>
      <c r="E153" s="81"/>
      <c r="F153" s="29"/>
      <c r="G153" s="1">
        <f t="shared" si="39"/>
        <v>1.6039211691776245E-4</v>
      </c>
      <c r="H153" s="1">
        <f t="shared" si="40"/>
        <v>76.994315685449536</v>
      </c>
      <c r="I153" s="1">
        <f t="shared" si="41"/>
        <v>83.684285576781321</v>
      </c>
    </row>
    <row r="154" spans="2:9" x14ac:dyDescent="0.25">
      <c r="B154" s="1">
        <v>1</v>
      </c>
      <c r="C154" s="1">
        <f t="shared" si="37"/>
        <v>3.5103136961763228</v>
      </c>
      <c r="D154" s="1">
        <f t="shared" si="38"/>
        <v>1.8367712320587744</v>
      </c>
      <c r="E154" s="82"/>
      <c r="F154" s="30"/>
      <c r="G154" s="1">
        <f t="shared" si="39"/>
        <v>1.2258150991700245E-3</v>
      </c>
      <c r="H154" s="1">
        <f t="shared" si="40"/>
        <v>295.64074747740528</v>
      </c>
      <c r="I154" s="1">
        <f t="shared" si="41"/>
        <v>292.0710777595005</v>
      </c>
    </row>
    <row r="155" spans="2:9" x14ac:dyDescent="0.25">
      <c r="B155" s="1">
        <v>1</v>
      </c>
      <c r="C155" s="1">
        <f t="shared" si="37"/>
        <v>3.4163938175335362</v>
      </c>
      <c r="D155" s="1">
        <f t="shared" si="38"/>
        <v>1.8054646058445121</v>
      </c>
      <c r="E155" s="83"/>
      <c r="F155" s="31"/>
      <c r="G155" s="1">
        <f t="shared" si="39"/>
        <v>8.3973262240882862E-4</v>
      </c>
      <c r="H155" s="1">
        <f t="shared" si="40"/>
        <v>140.69195627534344</v>
      </c>
      <c r="I155" s="1">
        <f t="shared" si="41"/>
        <v>132.7955605918572</v>
      </c>
    </row>
    <row r="156" spans="2:9" x14ac:dyDescent="0.25">
      <c r="B156" s="1">
        <v>1</v>
      </c>
      <c r="C156" s="1">
        <f t="shared" si="37"/>
        <v>3.6591746366033457</v>
      </c>
      <c r="D156" s="1">
        <f t="shared" si="38"/>
        <v>1.8863915455344487</v>
      </c>
      <c r="E156" s="84"/>
      <c r="F156" s="32"/>
      <c r="G156" s="1">
        <f t="shared" si="39"/>
        <v>3.6173648715803752E-4</v>
      </c>
      <c r="H156" s="1">
        <f t="shared" si="40"/>
        <v>25.979442703299402</v>
      </c>
      <c r="I156" s="1">
        <f t="shared" si="41"/>
        <v>33.15938680151109</v>
      </c>
    </row>
    <row r="157" spans="2:9" x14ac:dyDescent="0.25">
      <c r="B157" s="1">
        <v>1</v>
      </c>
      <c r="C157" s="1">
        <f t="shared" si="37"/>
        <v>4.5702714898808443</v>
      </c>
      <c r="D157" s="1">
        <f t="shared" si="38"/>
        <v>2.1900904966269481</v>
      </c>
      <c r="E157" s="85"/>
      <c r="F157" s="33"/>
      <c r="G157" s="1">
        <f t="shared" si="39"/>
        <v>6.760661723742567E-5</v>
      </c>
      <c r="H157" s="1">
        <f t="shared" si="40"/>
        <v>90.894113668498392</v>
      </c>
      <c r="I157" s="1">
        <f t="shared" si="41"/>
        <v>92.866522956006378</v>
      </c>
    </row>
    <row r="158" spans="2:9" x14ac:dyDescent="0.25">
      <c r="B158" s="1">
        <v>1</v>
      </c>
      <c r="C158" s="1">
        <f t="shared" si="37"/>
        <v>3.3053409086889007</v>
      </c>
      <c r="D158" s="1">
        <f t="shared" si="38"/>
        <v>1.7684469695629668</v>
      </c>
      <c r="E158" s="86"/>
      <c r="F158" s="34"/>
      <c r="G158" s="1">
        <f t="shared" si="39"/>
        <v>1.7976590883323484E-3</v>
      </c>
      <c r="H158" s="1">
        <f t="shared" si="40"/>
        <v>343.52477300724325</v>
      </c>
      <c r="I158" s="1">
        <f t="shared" si="41"/>
        <v>345.82878038268973</v>
      </c>
    </row>
    <row r="159" spans="2:9" x14ac:dyDescent="0.25">
      <c r="B159" s="1">
        <v>1</v>
      </c>
      <c r="C159" s="1">
        <f t="shared" si="37"/>
        <v>2.4216158404913877</v>
      </c>
      <c r="D159" s="1">
        <f t="shared" si="38"/>
        <v>1.4738719468304626</v>
      </c>
      <c r="E159" s="87"/>
      <c r="F159" s="35"/>
      <c r="G159" s="1">
        <f t="shared" si="39"/>
        <v>4.6781429017634768E-2</v>
      </c>
      <c r="H159" s="1">
        <f t="shared" si="40"/>
        <v>228.42992951788918</v>
      </c>
      <c r="I159" s="1">
        <f t="shared" si="41"/>
        <v>217.1543488513463</v>
      </c>
    </row>
    <row r="160" spans="2:9" x14ac:dyDescent="0.25">
      <c r="B160" s="1">
        <v>1</v>
      </c>
      <c r="C160" s="1">
        <f t="shared" si="37"/>
        <v>1.0458521374357348</v>
      </c>
      <c r="D160" s="1">
        <f t="shared" si="38"/>
        <v>1.0152840458119117</v>
      </c>
      <c r="E160" s="88"/>
      <c r="F160" s="36"/>
      <c r="G160" s="1">
        <f t="shared" si="39"/>
        <v>0.49886375076640577</v>
      </c>
      <c r="H160" s="1">
        <f t="shared" si="40"/>
        <v>117.96859806185486</v>
      </c>
      <c r="I160" s="1">
        <f t="shared" si="41"/>
        <v>93.321961022085716</v>
      </c>
    </row>
    <row r="161" spans="2:14" x14ac:dyDescent="0.25">
      <c r="B161" s="1">
        <v>1</v>
      </c>
      <c r="C161" s="1">
        <f t="shared" si="37"/>
        <v>1.0004662258510135</v>
      </c>
      <c r="D161" s="1">
        <f t="shared" si="38"/>
        <v>1.0001554086170046</v>
      </c>
      <c r="E161" s="89"/>
      <c r="F161" s="37"/>
      <c r="G161" s="1">
        <f t="shared" si="39"/>
        <v>0.49967095472208467</v>
      </c>
      <c r="H161" s="1">
        <f t="shared" si="40"/>
        <v>354.3146505959449</v>
      </c>
      <c r="I161" s="1">
        <f t="shared" si="41"/>
        <v>98.883859334340414</v>
      </c>
    </row>
    <row r="162" spans="2:14" x14ac:dyDescent="0.25">
      <c r="B162" s="1">
        <v>1</v>
      </c>
      <c r="C162" s="1">
        <f t="shared" si="37"/>
        <v>1.0003954442402818</v>
      </c>
      <c r="D162" s="1">
        <f t="shared" si="38"/>
        <v>1.0001318147467606</v>
      </c>
      <c r="E162" s="90"/>
      <c r="F162" s="38"/>
      <c r="G162" s="1">
        <f t="shared" si="39"/>
        <v>0.49982072344702333</v>
      </c>
      <c r="H162" s="1">
        <f t="shared" si="40"/>
        <v>354.31521460347329</v>
      </c>
      <c r="I162" s="1">
        <f t="shared" si="41"/>
        <v>91.517602592284064</v>
      </c>
    </row>
    <row r="163" spans="2:14" x14ac:dyDescent="0.25">
      <c r="B163" s="1">
        <v>1</v>
      </c>
      <c r="C163" s="1">
        <f t="shared" si="37"/>
        <v>1.0003270177980583</v>
      </c>
      <c r="D163" s="1">
        <f t="shared" si="38"/>
        <v>1.000109005932686</v>
      </c>
      <c r="E163" s="91"/>
      <c r="F163" s="39">
        <v>0.18</v>
      </c>
      <c r="G163" s="1">
        <f t="shared" si="39"/>
        <v>0.49990619977801148</v>
      </c>
      <c r="H163" s="1">
        <f t="shared" si="40"/>
        <v>354.31553644503953</v>
      </c>
      <c r="I163" s="1">
        <f t="shared" si="41"/>
        <v>77.501248989139583</v>
      </c>
    </row>
    <row r="164" spans="2:14" x14ac:dyDescent="0.25">
      <c r="B164" s="1">
        <v>1</v>
      </c>
      <c r="C164" s="1">
        <f t="shared" si="37"/>
        <v>1.058560316609894</v>
      </c>
      <c r="D164" s="1">
        <f t="shared" si="38"/>
        <v>1.0195201055366314</v>
      </c>
      <c r="E164" s="92"/>
      <c r="F164" s="40"/>
      <c r="G164" s="1">
        <f t="shared" si="39"/>
        <v>0.49971977039662102</v>
      </c>
      <c r="H164" s="1">
        <f t="shared" si="40"/>
        <v>272.62992641812349</v>
      </c>
      <c r="I164" s="1">
        <f t="shared" si="41"/>
        <v>67.563430939236994</v>
      </c>
    </row>
    <row r="165" spans="2:14" x14ac:dyDescent="0.25">
      <c r="B165" s="1">
        <v>1</v>
      </c>
      <c r="C165" s="1">
        <f t="shared" si="37"/>
        <v>1.0607500918651582</v>
      </c>
      <c r="D165" s="1">
        <f t="shared" si="38"/>
        <v>1.0202500306217195</v>
      </c>
      <c r="E165" s="93"/>
      <c r="F165" s="41"/>
      <c r="G165" s="1">
        <f t="shared" si="39"/>
        <v>0.49936948131684872</v>
      </c>
      <c r="H165" s="1">
        <f t="shared" si="40"/>
        <v>299.4481070488257</v>
      </c>
      <c r="I165" s="1">
        <f t="shared" si="41"/>
        <v>9.7369447525693644</v>
      </c>
    </row>
    <row r="167" spans="2:14" x14ac:dyDescent="0.25">
      <c r="B167" s="2" t="s">
        <v>32</v>
      </c>
      <c r="C167" s="2" t="s">
        <v>33</v>
      </c>
      <c r="D167" s="2" t="s">
        <v>34</v>
      </c>
      <c r="G167" s="2" t="s">
        <v>37</v>
      </c>
      <c r="H167" s="2" t="s">
        <v>35</v>
      </c>
      <c r="I167" s="2" t="s">
        <v>36</v>
      </c>
      <c r="L167" s="14"/>
      <c r="M167" s="14"/>
      <c r="N167" s="4"/>
    </row>
    <row r="168" spans="2:14" x14ac:dyDescent="0.25">
      <c r="B168" s="1">
        <f t="shared" ref="B168:B191" si="42">IF(ABS(H142-I142)&gt;180, (H142+I142+360)/2, (H142+I142)/2)</f>
        <v>44.339735102664164</v>
      </c>
      <c r="C168" s="1">
        <f>1-(0.17*COS(PI()*(B168-30)/180))+(0.24*COS(PI()*(2*B168)/180))+(0.32*COS(PI()*((3*B168)+6)/180))-(0.2*COS(PI()*((4*B168)-63)/180))</f>
        <v>0.68174033641990495</v>
      </c>
      <c r="D168" s="1">
        <f t="shared" ref="D168:D191" si="43">IF(ABS(H142-I142)&lt;=180, I142-H142, IF(AND(ABS(H142-I142)&gt;180, I142&lt;=H142), I142-H142+360, I142-H142-360))</f>
        <v>9.4833684473698057</v>
      </c>
      <c r="E168" s="70"/>
      <c r="F168" s="18"/>
      <c r="G168" s="1">
        <f t="shared" ref="G168:G191" si="44">G116-B116</f>
        <v>6.5441109842133329</v>
      </c>
      <c r="H168" s="1">
        <f t="shared" ref="H168:H191" si="45">SQRT((H116*(1+G142))^2+I116^2)-SQRT((C116*(1+G142))^2+D116^2)</f>
        <v>5.6750852031526655</v>
      </c>
      <c r="I168" s="1">
        <f t="shared" ref="I168:I191" si="46">2*SQRT(SQRT((C116*(1+G142))^2+D116^2)*SQRT((H116*(1+G142))^2+I116^2))*SIN(PI()*(D168/2)/180)</f>
        <v>4.117893252407117</v>
      </c>
    </row>
    <row r="169" spans="2:14" x14ac:dyDescent="0.25">
      <c r="B169" s="1">
        <f t="shared" si="42"/>
        <v>45.360980008466044</v>
      </c>
      <c r="C169" s="1">
        <f t="shared" ref="C169:C191" si="47">1-(0.17*COS(PI()*(B169-30)/180))+(0.24*COS(PI()*(2*B169)/180))+(0.32*COS(PI()*((3*B169)+6)/180))-(0.2*COS(PI()*((4*B169)-63)/180))</f>
        <v>0.67586032191304268</v>
      </c>
      <c r="D169" s="1">
        <f t="shared" si="43"/>
        <v>2.3452473820697151E-2</v>
      </c>
      <c r="E169" s="71"/>
      <c r="F169" s="19"/>
      <c r="G169" s="1">
        <f t="shared" si="44"/>
        <v>4.8945738514292572</v>
      </c>
      <c r="H169" s="1">
        <f t="shared" si="45"/>
        <v>3.8830721790245271</v>
      </c>
      <c r="I169" s="1">
        <f t="shared" si="46"/>
        <v>1.0763508680498241E-2</v>
      </c>
    </row>
    <row r="170" spans="2:14" x14ac:dyDescent="0.25">
      <c r="B170" s="1">
        <f t="shared" si="42"/>
        <v>258.78703465569356</v>
      </c>
      <c r="C170" s="1">
        <f t="shared" si="47"/>
        <v>1.0999151288152529</v>
      </c>
      <c r="D170" s="1">
        <f t="shared" si="43"/>
        <v>-21.098817031709928</v>
      </c>
      <c r="E170" s="72"/>
      <c r="F170" s="20"/>
      <c r="G170" s="1">
        <f t="shared" si="44"/>
        <v>9.5423331143797014</v>
      </c>
      <c r="H170" s="1">
        <f t="shared" si="45"/>
        <v>-10.299268113113747</v>
      </c>
      <c r="I170" s="1">
        <f t="shared" si="46"/>
        <v>-6.2810931900823288</v>
      </c>
    </row>
    <row r="171" spans="2:14" x14ac:dyDescent="0.25">
      <c r="B171" s="1">
        <f t="shared" si="42"/>
        <v>121.26295306063082</v>
      </c>
      <c r="C171" s="1">
        <f t="shared" si="47"/>
        <v>1.1146300791545722</v>
      </c>
      <c r="D171" s="1">
        <f t="shared" si="43"/>
        <v>-7.6017644796503276</v>
      </c>
      <c r="E171" s="73"/>
      <c r="F171" s="21"/>
      <c r="G171" s="1">
        <f t="shared" si="44"/>
        <v>10.983815990462332</v>
      </c>
      <c r="H171" s="1">
        <f t="shared" si="45"/>
        <v>12.164212183473008</v>
      </c>
      <c r="I171" s="1">
        <f t="shared" si="46"/>
        <v>-4.4450181714192336</v>
      </c>
    </row>
    <row r="172" spans="2:14" x14ac:dyDescent="0.25">
      <c r="B172" s="1">
        <f t="shared" si="42"/>
        <v>301.90067267388054</v>
      </c>
      <c r="C172" s="1">
        <f t="shared" si="47"/>
        <v>0.48927772083014381</v>
      </c>
      <c r="D172" s="1">
        <f t="shared" si="43"/>
        <v>4.2516176765271325</v>
      </c>
      <c r="E172" s="74"/>
      <c r="F172" s="22"/>
      <c r="G172" s="1">
        <f t="shared" si="44"/>
        <v>8.85458552186617</v>
      </c>
      <c r="H172" s="1">
        <f t="shared" si="45"/>
        <v>-10.878209740929609</v>
      </c>
      <c r="I172" s="1">
        <f t="shared" si="46"/>
        <v>1.6379015808673969</v>
      </c>
    </row>
    <row r="173" spans="2:14" x14ac:dyDescent="0.25">
      <c r="B173" s="1">
        <f t="shared" si="42"/>
        <v>172.9697074189117</v>
      </c>
      <c r="C173" s="1">
        <f t="shared" si="47"/>
        <v>1.0634722389524687</v>
      </c>
      <c r="D173" s="1">
        <f t="shared" si="43"/>
        <v>-9.0348231017183878</v>
      </c>
      <c r="E173" s="75"/>
      <c r="F173" s="23"/>
      <c r="G173" s="1">
        <f t="shared" si="44"/>
        <v>4.4332397853909242</v>
      </c>
      <c r="H173" s="1">
        <f t="shared" si="45"/>
        <v>-6.5688132824225249</v>
      </c>
      <c r="I173" s="1">
        <f t="shared" si="46"/>
        <v>-4.7429017863115472</v>
      </c>
    </row>
    <row r="174" spans="2:14" x14ac:dyDescent="0.25">
      <c r="B174" s="1">
        <f t="shared" si="42"/>
        <v>62.821297891904415</v>
      </c>
      <c r="C174" s="1">
        <f t="shared" si="47"/>
        <v>0.60533830658258236</v>
      </c>
      <c r="D174" s="1">
        <f t="shared" si="43"/>
        <v>2.8080441390362267</v>
      </c>
      <c r="E174" s="76"/>
      <c r="F174" s="24"/>
      <c r="G174" s="1">
        <f t="shared" si="44"/>
        <v>-0.58155046059893323</v>
      </c>
      <c r="H174" s="1">
        <f t="shared" si="45"/>
        <v>6.7431573673463276</v>
      </c>
      <c r="I174" s="1">
        <f t="shared" si="46"/>
        <v>3.3635944221310847</v>
      </c>
    </row>
    <row r="175" spans="2:14" x14ac:dyDescent="0.25">
      <c r="B175" s="1">
        <f t="shared" si="42"/>
        <v>285.66489632296884</v>
      </c>
      <c r="C175" s="1">
        <f t="shared" si="47"/>
        <v>0.38154351289457511</v>
      </c>
      <c r="D175" s="1">
        <f t="shared" si="43"/>
        <v>-9.9063422344925129</v>
      </c>
      <c r="E175" s="77"/>
      <c r="F175" s="25"/>
      <c r="G175" s="1">
        <f t="shared" si="44"/>
        <v>6.6731622075882626</v>
      </c>
      <c r="H175" s="1">
        <f t="shared" si="45"/>
        <v>-10.500869964926679</v>
      </c>
      <c r="I175" s="1">
        <f t="shared" si="46"/>
        <v>-6.9867187141344154</v>
      </c>
    </row>
    <row r="176" spans="2:14" x14ac:dyDescent="0.25">
      <c r="B176" s="1">
        <f t="shared" si="42"/>
        <v>19.098598101769408</v>
      </c>
      <c r="C176" s="1">
        <f t="shared" si="47"/>
        <v>0.97092407508940548</v>
      </c>
      <c r="D176" s="1">
        <f t="shared" si="43"/>
        <v>3.1705990846335439</v>
      </c>
      <c r="E176" s="78"/>
      <c r="F176" s="26"/>
      <c r="G176" s="1">
        <f t="shared" si="44"/>
        <v>2.3790284378484046</v>
      </c>
      <c r="H176" s="1">
        <f t="shared" si="45"/>
        <v>6.6322792461566706</v>
      </c>
      <c r="I176" s="1">
        <f t="shared" si="46"/>
        <v>2.8492069210445412</v>
      </c>
    </row>
    <row r="177" spans="2:9" x14ac:dyDescent="0.25">
      <c r="B177" s="1">
        <f t="shared" si="42"/>
        <v>321.86399327863876</v>
      </c>
      <c r="C177" s="1">
        <f t="shared" si="47"/>
        <v>1.0553298744771085</v>
      </c>
      <c r="D177" s="1">
        <f t="shared" si="43"/>
        <v>3.5846000858604725</v>
      </c>
      <c r="E177" s="79"/>
      <c r="F177" s="27"/>
      <c r="G177" s="1">
        <f t="shared" si="44"/>
        <v>3.5371461981427501</v>
      </c>
      <c r="H177" s="1">
        <f t="shared" si="45"/>
        <v>-1.0252496357697467</v>
      </c>
      <c r="I177" s="1">
        <f t="shared" si="46"/>
        <v>2.0870099436879088</v>
      </c>
    </row>
    <row r="178" spans="2:9" x14ac:dyDescent="0.25">
      <c r="B178" s="1">
        <f t="shared" si="42"/>
        <v>112.32386719053603</v>
      </c>
      <c r="C178" s="1">
        <f t="shared" si="47"/>
        <v>0.93321354919514832</v>
      </c>
      <c r="D178" s="1">
        <f t="shared" si="43"/>
        <v>-6.0204862600386377</v>
      </c>
      <c r="E178" s="80"/>
      <c r="F178" s="28"/>
      <c r="G178" s="1">
        <f t="shared" si="44"/>
        <v>1.9684252393313102</v>
      </c>
      <c r="H178" s="1">
        <f t="shared" si="45"/>
        <v>14.356192271617346</v>
      </c>
      <c r="I178" s="1">
        <f t="shared" si="46"/>
        <v>-7.4472269460098222</v>
      </c>
    </row>
    <row r="179" spans="2:9" x14ac:dyDescent="0.25">
      <c r="B179" s="1">
        <f t="shared" si="42"/>
        <v>80.339300631115435</v>
      </c>
      <c r="C179" s="1">
        <f t="shared" si="47"/>
        <v>0.58043662013715858</v>
      </c>
      <c r="D179" s="1">
        <f t="shared" si="43"/>
        <v>6.6899698913317849</v>
      </c>
      <c r="E179" s="81"/>
      <c r="F179" s="29"/>
      <c r="G179" s="1">
        <f t="shared" si="44"/>
        <v>0.36761660012983555</v>
      </c>
      <c r="H179" s="1">
        <f t="shared" si="45"/>
        <v>7.9184789411100098</v>
      </c>
      <c r="I179" s="1">
        <f t="shared" si="46"/>
        <v>8.3254451675432488</v>
      </c>
    </row>
    <row r="180" spans="2:9" x14ac:dyDescent="0.25">
      <c r="B180" s="1">
        <f t="shared" si="42"/>
        <v>293.85591261845286</v>
      </c>
      <c r="C180" s="1">
        <f t="shared" si="47"/>
        <v>0.37539087026607093</v>
      </c>
      <c r="D180" s="1">
        <f t="shared" si="43"/>
        <v>-3.5696697179047874</v>
      </c>
      <c r="E180" s="82"/>
      <c r="F180" s="30"/>
      <c r="G180" s="1">
        <f t="shared" si="44"/>
        <v>-1.7581891419409175</v>
      </c>
      <c r="H180" s="1">
        <f t="shared" si="45"/>
        <v>-4.7486256095017367</v>
      </c>
      <c r="I180" s="1">
        <f t="shared" si="46"/>
        <v>-3.3245731727726882</v>
      </c>
    </row>
    <row r="181" spans="2:9" x14ac:dyDescent="0.25">
      <c r="B181" s="1">
        <f t="shared" si="42"/>
        <v>136.74375843360031</v>
      </c>
      <c r="C181" s="1">
        <f t="shared" si="47"/>
        <v>1.3532108287778861</v>
      </c>
      <c r="D181" s="1">
        <f t="shared" si="43"/>
        <v>-7.8963956834862472</v>
      </c>
      <c r="E181" s="83"/>
      <c r="F181" s="31"/>
      <c r="G181" s="1">
        <f t="shared" si="44"/>
        <v>2.7197813994693689</v>
      </c>
      <c r="H181" s="1">
        <f t="shared" si="45"/>
        <v>5.3757682000387561</v>
      </c>
      <c r="I181" s="1">
        <f t="shared" si="46"/>
        <v>-7.7596900576334882</v>
      </c>
    </row>
    <row r="182" spans="2:9" x14ac:dyDescent="0.25">
      <c r="B182" s="1">
        <f t="shared" si="42"/>
        <v>29.569414752405244</v>
      </c>
      <c r="C182" s="1">
        <f t="shared" si="47"/>
        <v>0.81292888662162865</v>
      </c>
      <c r="D182" s="1">
        <f t="shared" si="43"/>
        <v>7.1799440982116884</v>
      </c>
      <c r="E182" s="84"/>
      <c r="F182" s="32"/>
      <c r="G182" s="1">
        <f t="shared" si="44"/>
        <v>2.4395579221173875</v>
      </c>
      <c r="H182" s="1">
        <f t="shared" si="45"/>
        <v>9.0335559052873435</v>
      </c>
      <c r="I182" s="1">
        <f t="shared" si="46"/>
        <v>7.9479914956610918</v>
      </c>
    </row>
    <row r="183" spans="2:9" x14ac:dyDescent="0.25">
      <c r="B183" s="1">
        <f t="shared" si="42"/>
        <v>91.880318312252385</v>
      </c>
      <c r="C183" s="1">
        <f t="shared" si="47"/>
        <v>0.63161979285446412</v>
      </c>
      <c r="D183" s="1">
        <f t="shared" si="43"/>
        <v>1.9724092875079862</v>
      </c>
      <c r="E183" s="85"/>
      <c r="F183" s="33"/>
      <c r="G183" s="1">
        <f t="shared" si="44"/>
        <v>-0.15998054656056127</v>
      </c>
      <c r="H183" s="1">
        <f t="shared" si="45"/>
        <v>3.0043983596545019</v>
      </c>
      <c r="I183" s="1">
        <f t="shared" si="46"/>
        <v>2.782355970133322</v>
      </c>
    </row>
    <row r="184" spans="2:9" x14ac:dyDescent="0.25">
      <c r="B184" s="1">
        <f t="shared" si="42"/>
        <v>344.67677669496652</v>
      </c>
      <c r="C184" s="1">
        <f t="shared" si="47"/>
        <v>1.4448786581116004</v>
      </c>
      <c r="D184" s="1">
        <f t="shared" si="43"/>
        <v>2.3040073754464743</v>
      </c>
      <c r="E184" s="86"/>
      <c r="F184" s="34"/>
      <c r="G184" s="1">
        <f t="shared" si="44"/>
        <v>2.1734566425597848</v>
      </c>
      <c r="H184" s="1">
        <f t="shared" si="45"/>
        <v>-1.3460911491738301</v>
      </c>
      <c r="I184" s="1">
        <f t="shared" si="46"/>
        <v>2.0361018213763336</v>
      </c>
    </row>
    <row r="185" spans="2:9" x14ac:dyDescent="0.25">
      <c r="B185" s="1">
        <f t="shared" si="42"/>
        <v>222.79213918461772</v>
      </c>
      <c r="C185" s="1">
        <f t="shared" si="47"/>
        <v>1.4704196374633121</v>
      </c>
      <c r="D185" s="1">
        <f t="shared" si="43"/>
        <v>-11.275580666542879</v>
      </c>
      <c r="E185" s="87"/>
      <c r="F185" s="35"/>
      <c r="G185" s="1">
        <f t="shared" si="44"/>
        <v>0.42278984904167771</v>
      </c>
      <c r="H185" s="1">
        <f t="shared" si="45"/>
        <v>-0.73043018773465818</v>
      </c>
      <c r="I185" s="1">
        <f t="shared" si="46"/>
        <v>-6.2578408580824938</v>
      </c>
    </row>
    <row r="186" spans="2:9" x14ac:dyDescent="0.25">
      <c r="B186" s="1">
        <f t="shared" si="42"/>
        <v>105.6452795419703</v>
      </c>
      <c r="C186" s="1">
        <f t="shared" si="47"/>
        <v>0.80811508799726162</v>
      </c>
      <c r="D186" s="1">
        <f t="shared" si="43"/>
        <v>-24.646637039769146</v>
      </c>
      <c r="E186" s="88"/>
      <c r="F186" s="36"/>
      <c r="G186" s="1">
        <f t="shared" si="44"/>
        <v>-6.4027735375609893</v>
      </c>
      <c r="H186" s="1">
        <f t="shared" si="45"/>
        <v>6.6847176048374441</v>
      </c>
      <c r="I186" s="1">
        <f t="shared" si="46"/>
        <v>-1.2409611745968012</v>
      </c>
    </row>
    <row r="187" spans="2:9" x14ac:dyDescent="0.25">
      <c r="B187" s="1">
        <f t="shared" si="42"/>
        <v>406.59925496514268</v>
      </c>
      <c r="C187" s="1">
        <f t="shared" si="47"/>
        <v>0.66912229774568122</v>
      </c>
      <c r="D187" s="1">
        <f t="shared" si="43"/>
        <v>104.5692087383955</v>
      </c>
      <c r="E187" s="89"/>
      <c r="F187" s="37"/>
      <c r="G187" s="1">
        <f t="shared" si="44"/>
        <v>-0.50332016859462669</v>
      </c>
      <c r="H187" s="1">
        <f t="shared" si="45"/>
        <v>6.1800175447515375</v>
      </c>
      <c r="I187" s="1">
        <f t="shared" si="46"/>
        <v>0.48937627000174905</v>
      </c>
    </row>
    <row r="188" spans="2:9" x14ac:dyDescent="0.25">
      <c r="B188" s="1">
        <f t="shared" si="42"/>
        <v>402.91640859787867</v>
      </c>
      <c r="C188" s="1">
        <f t="shared" si="47"/>
        <v>0.69046886162238086</v>
      </c>
      <c r="D188" s="1">
        <f t="shared" si="43"/>
        <v>97.202387988810756</v>
      </c>
      <c r="E188" s="90"/>
      <c r="F188" s="38"/>
      <c r="G188" s="1">
        <f t="shared" si="44"/>
        <v>3.5318171571579029</v>
      </c>
      <c r="H188" s="1">
        <f t="shared" si="45"/>
        <v>5.1618284606693088</v>
      </c>
      <c r="I188" s="1">
        <f t="shared" si="46"/>
        <v>0.39061487204629536</v>
      </c>
    </row>
    <row r="189" spans="2:9" x14ac:dyDescent="0.25">
      <c r="B189" s="1">
        <f t="shared" si="42"/>
        <v>395.90839271708955</v>
      </c>
      <c r="C189" s="1">
        <f t="shared" si="47"/>
        <v>0.74449505293765983</v>
      </c>
      <c r="D189" s="1">
        <f t="shared" si="43"/>
        <v>83.185712544100056</v>
      </c>
      <c r="E189" s="91"/>
      <c r="F189" s="39">
        <v>0.18</v>
      </c>
      <c r="G189" s="1">
        <f t="shared" si="44"/>
        <v>2.2721733553106418</v>
      </c>
      <c r="H189" s="1">
        <f t="shared" si="45"/>
        <v>4.3459982656591851</v>
      </c>
      <c r="I189" s="1">
        <f t="shared" si="46"/>
        <v>0.28844472286761713</v>
      </c>
    </row>
    <row r="190" spans="2:9" x14ac:dyDescent="0.25">
      <c r="B190" s="1">
        <f t="shared" si="42"/>
        <v>350.09667867868023</v>
      </c>
      <c r="C190" s="1">
        <f t="shared" si="47"/>
        <v>1.4320537653766523</v>
      </c>
      <c r="D190" s="1">
        <f t="shared" si="43"/>
        <v>154.93350452111349</v>
      </c>
      <c r="E190" s="92"/>
      <c r="F190" s="40"/>
      <c r="G190" s="1">
        <f t="shared" si="44"/>
        <v>-4.9493598687988083E-2</v>
      </c>
      <c r="H190" s="1">
        <f t="shared" si="45"/>
        <v>3.482372886259367</v>
      </c>
      <c r="I190" s="1">
        <f t="shared" si="46"/>
        <v>4.8729861760234012</v>
      </c>
    </row>
    <row r="191" spans="2:9" x14ac:dyDescent="0.25">
      <c r="B191" s="1">
        <f t="shared" si="42"/>
        <v>334.59252590069752</v>
      </c>
      <c r="C191" s="1">
        <f t="shared" si="47"/>
        <v>1.356248390009771</v>
      </c>
      <c r="D191" s="1">
        <f t="shared" si="43"/>
        <v>70.288837703743638</v>
      </c>
      <c r="E191" s="93"/>
      <c r="F191" s="41"/>
      <c r="G191" s="1">
        <f t="shared" si="44"/>
        <v>-12.024986139478401</v>
      </c>
      <c r="H191" s="1">
        <f t="shared" si="45"/>
        <v>7.4971909250532072</v>
      </c>
      <c r="I191" s="1">
        <f t="shared" si="46"/>
        <v>4.1481657149744819</v>
      </c>
    </row>
    <row r="193" spans="2:9" x14ac:dyDescent="0.25">
      <c r="B193" s="4" t="s">
        <v>47</v>
      </c>
      <c r="C193" s="4" t="s">
        <v>48</v>
      </c>
      <c r="D193" s="4" t="s">
        <v>49</v>
      </c>
      <c r="E193" s="4"/>
      <c r="G193" s="2" t="s">
        <v>38</v>
      </c>
      <c r="H193" s="4" t="s">
        <v>39</v>
      </c>
      <c r="I193" s="4" t="s">
        <v>40</v>
      </c>
    </row>
    <row r="194" spans="2:9" x14ac:dyDescent="0.25">
      <c r="B194" s="1">
        <f t="shared" ref="B194:B217" si="48">1+(0.015*(((B116+G116)/2)-50)^2/SQRT(20+((((B116+G116)/2)-50)^2)))</f>
        <v>1.1323936668262848</v>
      </c>
      <c r="C194" s="1">
        <f t="shared" ref="C194:C217" si="49">1+0.045*((SQRT((H116*(1+G142))^2+I116^2)+SQRT((C116*(1+G142))^2+D116^2))/2)</f>
        <v>2.1280895135144213</v>
      </c>
      <c r="D194" s="1">
        <f t="shared" ref="D194:D217" si="50">1+0.015*((SQRT((H116*(1+G142))^2+I116^2)+SQRT((C116*(1+G142))^2+D116^2))/2)*C168</f>
        <v>1.2563547081516961</v>
      </c>
      <c r="E194" s="70"/>
      <c r="F194" s="18"/>
      <c r="G194" s="1">
        <f t="shared" ref="G194:G217" si="51">30*EXP((-1)*(((B168-275)/25)^2))</f>
        <v>3.2142956312663708E-36</v>
      </c>
      <c r="H194" s="1">
        <f t="shared" ref="H194:H217" si="52">SQRT((((SQRT((H116*(1+G142))^2+I116^2)+SQRT((C116*(1+G142))^2+D116^2))/2)^7)/((((SQRT((H116*(1+G142))^2+I116^2)+SQRT((C116*(1+G142))^2+D116^2))/2)^7)+(25^7)))</f>
        <v>0.71049220650398004</v>
      </c>
      <c r="I194" s="1">
        <f>(-2)*H194*SIN(PI()*(2*G194)/180)</f>
        <v>-1.5943457021249558E-37</v>
      </c>
    </row>
    <row r="195" spans="2:9" x14ac:dyDescent="0.25">
      <c r="B195" s="1">
        <f t="shared" si="48"/>
        <v>1.2685976556059964</v>
      </c>
      <c r="C195" s="1">
        <f t="shared" si="49"/>
        <v>2.1865359903080561</v>
      </c>
      <c r="D195" s="1">
        <f t="shared" si="50"/>
        <v>1.2673108654570047</v>
      </c>
      <c r="E195" s="71"/>
      <c r="F195" s="19"/>
      <c r="G195" s="1">
        <f t="shared" si="51"/>
        <v>6.819141097711157E-36</v>
      </c>
      <c r="H195" s="1">
        <f t="shared" si="52"/>
        <v>0.76950108488905333</v>
      </c>
      <c r="I195" s="1">
        <f t="shared" ref="I195:I217" si="53">(-2)*H195*SIN(PI()*(2*G195)/180)</f>
        <v>-3.6633319363442071E-37</v>
      </c>
    </row>
    <row r="196" spans="2:9" x14ac:dyDescent="0.25">
      <c r="B196" s="1">
        <f t="shared" si="48"/>
        <v>1.0595381410987328</v>
      </c>
      <c r="C196" s="1">
        <f t="shared" si="49"/>
        <v>1.80594761587232</v>
      </c>
      <c r="D196" s="1">
        <f t="shared" si="50"/>
        <v>1.2954913252435163</v>
      </c>
      <c r="E196" s="72"/>
      <c r="F196" s="20"/>
      <c r="G196" s="1">
        <f t="shared" si="51"/>
        <v>19.70004636418426</v>
      </c>
      <c r="H196" s="1">
        <f t="shared" si="52"/>
        <v>0.29714420720789908</v>
      </c>
      <c r="I196" s="1">
        <f t="shared" si="53"/>
        <v>-0.37721373349119808</v>
      </c>
    </row>
    <row r="197" spans="2:9" x14ac:dyDescent="0.25">
      <c r="B197" s="1">
        <f t="shared" si="48"/>
        <v>1.0104881688255192</v>
      </c>
      <c r="C197" s="1">
        <f t="shared" si="49"/>
        <v>2.5333587339555677</v>
      </c>
      <c r="D197" s="1">
        <f t="shared" si="50"/>
        <v>1.5697092556670831</v>
      </c>
      <c r="E197" s="73"/>
      <c r="F197" s="21"/>
      <c r="G197" s="1">
        <f t="shared" si="51"/>
        <v>1.1318420225063713E-15</v>
      </c>
      <c r="H197" s="1">
        <f t="shared" si="52"/>
        <v>0.94726721376576528</v>
      </c>
      <c r="I197" s="1">
        <f t="shared" si="53"/>
        <v>-7.4850667759066878E-17</v>
      </c>
    </row>
    <row r="198" spans="2:9" x14ac:dyDescent="0.25">
      <c r="B198" s="1">
        <f t="shared" si="48"/>
        <v>1.1519943094471052</v>
      </c>
      <c r="C198" s="1">
        <f t="shared" si="49"/>
        <v>2.0232066870917924</v>
      </c>
      <c r="D198" s="1">
        <f t="shared" si="50"/>
        <v>1.1668774119328114</v>
      </c>
      <c r="E198" s="74"/>
      <c r="F198" s="22"/>
      <c r="G198" s="1">
        <f t="shared" si="51"/>
        <v>9.4249787356826218</v>
      </c>
      <c r="H198" s="1">
        <f t="shared" si="52"/>
        <v>0.58298041264400691</v>
      </c>
      <c r="I198" s="1">
        <f t="shared" si="53"/>
        <v>-0.37671142251612411</v>
      </c>
    </row>
    <row r="199" spans="2:9" x14ac:dyDescent="0.25">
      <c r="B199" s="1">
        <f t="shared" si="48"/>
        <v>1.3412522611707334</v>
      </c>
      <c r="C199" s="1">
        <f t="shared" si="49"/>
        <v>2.362944925439737</v>
      </c>
      <c r="D199" s="1">
        <f t="shared" si="50"/>
        <v>1.4831513638087674</v>
      </c>
      <c r="E199" s="75"/>
      <c r="F199" s="23"/>
      <c r="G199" s="1">
        <f t="shared" si="51"/>
        <v>1.7514061383673359E-6</v>
      </c>
      <c r="H199" s="1">
        <f t="shared" si="52"/>
        <v>0.8905007311680172</v>
      </c>
      <c r="I199" s="1">
        <f t="shared" si="53"/>
        <v>-1.0888260601688161E-7</v>
      </c>
    </row>
    <row r="200" spans="2:9" x14ac:dyDescent="0.25">
      <c r="B200" s="1">
        <f t="shared" si="48"/>
        <v>1.1480569382939247</v>
      </c>
      <c r="C200" s="1">
        <f t="shared" si="49"/>
        <v>4.0924424304421976</v>
      </c>
      <c r="D200" s="1">
        <f t="shared" si="50"/>
        <v>1.6239912880160015</v>
      </c>
      <c r="E200" s="76"/>
      <c r="F200" s="24"/>
      <c r="G200" s="1">
        <f t="shared" si="51"/>
        <v>1.5637199503976947E-30</v>
      </c>
      <c r="H200" s="1">
        <f t="shared" si="52"/>
        <v>0.99957864151943321</v>
      </c>
      <c r="I200" s="1">
        <f t="shared" si="53"/>
        <v>-1.0912224788762809E-31</v>
      </c>
    </row>
    <row r="201" spans="2:9" x14ac:dyDescent="0.25">
      <c r="B201" s="1">
        <f t="shared" si="48"/>
        <v>1.0648029748356003</v>
      </c>
      <c r="C201" s="1">
        <f t="shared" si="49"/>
        <v>2.8359568925052616</v>
      </c>
      <c r="D201" s="1">
        <f t="shared" si="50"/>
        <v>1.2334991474298218</v>
      </c>
      <c r="E201" s="77"/>
      <c r="F201" s="25"/>
      <c r="G201" s="1">
        <f t="shared" si="51"/>
        <v>25.008439800946149</v>
      </c>
      <c r="H201" s="1">
        <f t="shared" si="52"/>
        <v>0.98416605808428403</v>
      </c>
      <c r="I201" s="1">
        <f t="shared" si="53"/>
        <v>-1.5082025538852519</v>
      </c>
    </row>
    <row r="202" spans="2:9" x14ac:dyDescent="0.25">
      <c r="B202" s="1">
        <f t="shared" si="48"/>
        <v>1.0144813443736485</v>
      </c>
      <c r="C202" s="1">
        <f t="shared" si="49"/>
        <v>3.3220517252209971</v>
      </c>
      <c r="D202" s="1">
        <f t="shared" si="50"/>
        <v>1.751511974539985</v>
      </c>
      <c r="E202" s="78"/>
      <c r="F202" s="26"/>
      <c r="G202" s="1">
        <f t="shared" si="51"/>
        <v>9.3997451464313166E-45</v>
      </c>
      <c r="H202" s="1">
        <f t="shared" si="52"/>
        <v>0.99688183260427055</v>
      </c>
      <c r="I202" s="1">
        <f t="shared" si="53"/>
        <v>-6.541797840762774E-46</v>
      </c>
    </row>
    <row r="203" spans="2:9" x14ac:dyDescent="0.25">
      <c r="B203" s="1">
        <f t="shared" si="48"/>
        <v>1.2577028000436581</v>
      </c>
      <c r="C203" s="1">
        <f t="shared" si="49"/>
        <v>2.5015542964734219</v>
      </c>
      <c r="D203" s="1">
        <f t="shared" si="50"/>
        <v>1.5282117024059532</v>
      </c>
      <c r="E203" s="79"/>
      <c r="F203" s="27"/>
      <c r="G203" s="1">
        <f t="shared" si="51"/>
        <v>0.89335003004571745</v>
      </c>
      <c r="H203" s="1">
        <f t="shared" si="52"/>
        <v>0.93967380796945277</v>
      </c>
      <c r="I203" s="1">
        <f t="shared" si="53"/>
        <v>-5.8595700146225171E-2</v>
      </c>
    </row>
    <row r="204" spans="2:9" x14ac:dyDescent="0.25">
      <c r="B204" s="1">
        <f t="shared" si="48"/>
        <v>1.3386846379229242</v>
      </c>
      <c r="C204" s="1">
        <f t="shared" si="49"/>
        <v>4.2070964739590639</v>
      </c>
      <c r="D204" s="1">
        <f t="shared" si="50"/>
        <v>1.9976352943581948</v>
      </c>
      <c r="E204" s="80"/>
      <c r="F204" s="28"/>
      <c r="G204" s="1">
        <f t="shared" si="51"/>
        <v>1.2256916111518055E-17</v>
      </c>
      <c r="H204" s="1">
        <f t="shared" si="52"/>
        <v>0.99967338157679042</v>
      </c>
      <c r="I204" s="1">
        <f t="shared" si="53"/>
        <v>-8.5541468366664574E-19</v>
      </c>
    </row>
    <row r="205" spans="2:9" x14ac:dyDescent="0.25">
      <c r="B205" s="1">
        <f t="shared" si="48"/>
        <v>1.321657290607414</v>
      </c>
      <c r="C205" s="1">
        <f t="shared" si="49"/>
        <v>4.2153845123782965</v>
      </c>
      <c r="D205" s="1">
        <f t="shared" si="50"/>
        <v>1.6221089729354081</v>
      </c>
      <c r="E205" s="81"/>
      <c r="F205" s="29"/>
      <c r="G205" s="1">
        <f t="shared" si="51"/>
        <v>1.401249166334765E-25</v>
      </c>
      <c r="H205" s="1">
        <f t="shared" si="52"/>
        <v>0.9996792266731781</v>
      </c>
      <c r="I205" s="1">
        <f t="shared" si="53"/>
        <v>-9.7794266515433602E-27</v>
      </c>
    </row>
    <row r="206" spans="2:9" x14ac:dyDescent="0.25">
      <c r="B206" s="1">
        <f t="shared" si="48"/>
        <v>1.3065642077401227</v>
      </c>
      <c r="C206" s="1">
        <f t="shared" si="49"/>
        <v>3.4040449701585573</v>
      </c>
      <c r="D206" s="1">
        <f t="shared" si="50"/>
        <v>1.3008188445021971</v>
      </c>
      <c r="E206" s="82"/>
      <c r="F206" s="30"/>
      <c r="G206" s="1">
        <f t="shared" si="51"/>
        <v>16.984899363664269</v>
      </c>
      <c r="H206" s="1">
        <f t="shared" si="52"/>
        <v>0.99755182518847019</v>
      </c>
      <c r="I206" s="1">
        <f t="shared" si="53"/>
        <v>-1.1147757969926761</v>
      </c>
    </row>
    <row r="207" spans="2:9" x14ac:dyDescent="0.25">
      <c r="B207" s="1">
        <f t="shared" si="48"/>
        <v>1.0880870979653949</v>
      </c>
      <c r="C207" s="1">
        <f t="shared" si="49"/>
        <v>3.5385628069311816</v>
      </c>
      <c r="D207" s="1">
        <f t="shared" si="50"/>
        <v>2.1450702266240205</v>
      </c>
      <c r="E207" s="83"/>
      <c r="F207" s="31"/>
      <c r="G207" s="1">
        <f t="shared" si="51"/>
        <v>1.5660510034389183E-12</v>
      </c>
      <c r="H207" s="1">
        <f t="shared" si="52"/>
        <v>0.99832571069395482</v>
      </c>
      <c r="I207" s="1">
        <f t="shared" si="53"/>
        <v>-1.0914793335758087E-13</v>
      </c>
    </row>
    <row r="208" spans="2:9" x14ac:dyDescent="0.25">
      <c r="B208" s="1">
        <f t="shared" si="48"/>
        <v>1.1050175498180732</v>
      </c>
      <c r="C208" s="1">
        <f t="shared" si="49"/>
        <v>3.8632069043665314</v>
      </c>
      <c r="D208" s="1">
        <f t="shared" si="50"/>
        <v>1.7758612003113483</v>
      </c>
      <c r="E208" s="84"/>
      <c r="F208" s="32"/>
      <c r="G208" s="1">
        <f t="shared" si="51"/>
        <v>4.1758198674257496E-41</v>
      </c>
      <c r="H208" s="1">
        <f t="shared" si="52"/>
        <v>0.99927789903063691</v>
      </c>
      <c r="I208" s="1">
        <f t="shared" si="53"/>
        <v>-2.9131671053703504E-42</v>
      </c>
    </row>
    <row r="209" spans="2:9" x14ac:dyDescent="0.25">
      <c r="B209" s="1">
        <f t="shared" si="48"/>
        <v>1.46815676435856</v>
      </c>
      <c r="C209" s="1">
        <f t="shared" si="49"/>
        <v>4.6378705117424852</v>
      </c>
      <c r="D209" s="1">
        <f t="shared" si="50"/>
        <v>1.7659170063527174</v>
      </c>
      <c r="E209" s="85"/>
      <c r="F209" s="33"/>
      <c r="G209" s="1">
        <f t="shared" si="51"/>
        <v>1.5001437146058446E-22</v>
      </c>
      <c r="H209" s="1">
        <f t="shared" si="52"/>
        <v>0.99986478685464741</v>
      </c>
      <c r="I209" s="1">
        <f t="shared" si="53"/>
        <v>-1.0471562744779349E-23</v>
      </c>
    </row>
    <row r="210" spans="2:9" x14ac:dyDescent="0.25">
      <c r="B210" s="1">
        <f t="shared" si="48"/>
        <v>1.0158249745320751</v>
      </c>
      <c r="C210" s="1">
        <f t="shared" si="49"/>
        <v>3.2788639312408225</v>
      </c>
      <c r="D210" s="1">
        <f t="shared" si="50"/>
        <v>2.0975606196633887</v>
      </c>
      <c r="E210" s="86"/>
      <c r="F210" s="34"/>
      <c r="G210" s="1">
        <f t="shared" si="51"/>
        <v>1.2694737324471433E-2</v>
      </c>
      <c r="H210" s="1">
        <f t="shared" si="52"/>
        <v>0.99644623246964537</v>
      </c>
      <c r="I210" s="1">
        <f t="shared" si="53"/>
        <v>-8.8311026554996786E-4</v>
      </c>
    </row>
    <row r="211" spans="2:9" x14ac:dyDescent="0.25">
      <c r="B211" s="1">
        <f t="shared" si="48"/>
        <v>1.0218409223671325</v>
      </c>
      <c r="C211" s="1">
        <f t="shared" si="49"/>
        <v>2.4333436911763853</v>
      </c>
      <c r="D211" s="1">
        <f t="shared" si="50"/>
        <v>1.7025389035799687</v>
      </c>
      <c r="E211" s="87"/>
      <c r="F211" s="35"/>
      <c r="G211" s="1">
        <f t="shared" si="51"/>
        <v>0.382946575990183</v>
      </c>
      <c r="H211" s="1">
        <f t="shared" si="52"/>
        <v>0.91921579919503926</v>
      </c>
      <c r="I211" s="1">
        <f t="shared" si="53"/>
        <v>-2.4574240039520159E-2</v>
      </c>
    </row>
    <row r="212" spans="2:9" x14ac:dyDescent="0.25">
      <c r="B212" s="1">
        <f t="shared" si="48"/>
        <v>1.630110696323706</v>
      </c>
      <c r="C212" s="1">
        <f t="shared" si="49"/>
        <v>1.1993416042625595</v>
      </c>
      <c r="D212" s="1">
        <f t="shared" si="50"/>
        <v>1.0536969860233845</v>
      </c>
      <c r="E212" s="88"/>
      <c r="F212" s="36"/>
      <c r="G212" s="1">
        <f t="shared" si="51"/>
        <v>3.5278195972867066E-19</v>
      </c>
      <c r="H212" s="1">
        <f t="shared" si="52"/>
        <v>2.3418431410711605E-3</v>
      </c>
      <c r="I212" s="1">
        <f t="shared" si="53"/>
        <v>-5.7676849478631693E-23</v>
      </c>
    </row>
    <row r="213" spans="2:9" x14ac:dyDescent="0.25">
      <c r="B213" s="1">
        <f t="shared" si="48"/>
        <v>1.4558927267852164</v>
      </c>
      <c r="C213" s="1">
        <f t="shared" si="49"/>
        <v>1.1397453339074037</v>
      </c>
      <c r="D213" s="1">
        <f t="shared" si="50"/>
        <v>1.0311689063077865</v>
      </c>
      <c r="E213" s="89"/>
      <c r="F213" s="37"/>
      <c r="G213" s="1">
        <f t="shared" si="51"/>
        <v>2.7738913470306842E-11</v>
      </c>
      <c r="H213" s="1">
        <f t="shared" si="52"/>
        <v>6.7553316808963745E-4</v>
      </c>
      <c r="I213" s="1">
        <f t="shared" si="53"/>
        <v>-1.3081980037766747E-15</v>
      </c>
    </row>
    <row r="214" spans="2:9" x14ac:dyDescent="0.25">
      <c r="B214" s="1">
        <f t="shared" si="48"/>
        <v>1.262185497388794</v>
      </c>
      <c r="C214" s="1">
        <f t="shared" si="49"/>
        <v>1.1167306333309754</v>
      </c>
      <c r="D214" s="1">
        <f t="shared" si="50"/>
        <v>1.0268662891708327</v>
      </c>
      <c r="E214" s="90"/>
      <c r="F214" s="38"/>
      <c r="G214" s="1">
        <f t="shared" si="51"/>
        <v>1.2800205978540068E-10</v>
      </c>
      <c r="H214" s="1">
        <f t="shared" si="52"/>
        <v>3.5984302560862654E-4</v>
      </c>
      <c r="I214" s="1">
        <f t="shared" si="53"/>
        <v>-3.2156398861314292E-15</v>
      </c>
    </row>
    <row r="215" spans="2:9" x14ac:dyDescent="0.25">
      <c r="B215" s="1">
        <f t="shared" si="48"/>
        <v>1.0271917501814223</v>
      </c>
      <c r="C215" s="1">
        <f t="shared" si="49"/>
        <v>1.0982724774225838</v>
      </c>
      <c r="D215" s="1">
        <f t="shared" si="50"/>
        <v>1.0243877910936805</v>
      </c>
      <c r="E215" s="91"/>
      <c r="F215" s="39">
        <v>0.18</v>
      </c>
      <c r="G215" s="1">
        <f t="shared" si="51"/>
        <v>2.084064620901788E-9</v>
      </c>
      <c r="H215" s="1">
        <f t="shared" si="52"/>
        <v>1.970052633315101E-4</v>
      </c>
      <c r="I215" s="1">
        <f t="shared" si="53"/>
        <v>-2.8663311882990955E-14</v>
      </c>
    </row>
    <row r="216" spans="2:9" x14ac:dyDescent="0.25">
      <c r="B216" s="1">
        <f t="shared" si="48"/>
        <v>1.1919971386577479</v>
      </c>
      <c r="C216" s="1">
        <f t="shared" si="49"/>
        <v>1.1369479745719031</v>
      </c>
      <c r="D216" s="1">
        <f t="shared" si="50"/>
        <v>1.0653722875487999</v>
      </c>
      <c r="E216" s="92"/>
      <c r="F216" s="40"/>
      <c r="G216" s="1">
        <f t="shared" si="51"/>
        <v>3.6173250742668312E-3</v>
      </c>
      <c r="H216" s="1">
        <f t="shared" si="52"/>
        <v>6.2937680403858534E-4</v>
      </c>
      <c r="I216" s="1">
        <f t="shared" si="53"/>
        <v>-1.5894088588784281E-7</v>
      </c>
    </row>
    <row r="217" spans="2:9" x14ac:dyDescent="0.25">
      <c r="B217" s="1">
        <f t="shared" si="48"/>
        <v>1.516204723061251</v>
      </c>
      <c r="C217" s="1">
        <f t="shared" si="49"/>
        <v>1.2339751459289181</v>
      </c>
      <c r="D217" s="1">
        <f t="shared" si="50"/>
        <v>1.1057761383227989</v>
      </c>
      <c r="E217" s="93"/>
      <c r="F217" s="41"/>
      <c r="G217" s="1">
        <f t="shared" si="51"/>
        <v>0.10219901415434612</v>
      </c>
      <c r="H217" s="1">
        <f t="shared" si="52"/>
        <v>4.1025752947514305E-3</v>
      </c>
      <c r="I217" s="1">
        <f t="shared" si="53"/>
        <v>-2.9271144566458761E-5</v>
      </c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</sheetData>
  <sortState xmlns:xlrd2="http://schemas.microsoft.com/office/spreadsheetml/2017/richdata2" ref="T11:W34">
    <sortCondition descending="1" ref="T11:T34"/>
  </sortState>
  <mergeCells count="11">
    <mergeCell ref="P79:R79"/>
    <mergeCell ref="K2:N3"/>
    <mergeCell ref="B2:I6"/>
    <mergeCell ref="B8:B9"/>
    <mergeCell ref="C8:I9"/>
    <mergeCell ref="P71:R71"/>
    <mergeCell ref="K8:L8"/>
    <mergeCell ref="P63:R63"/>
    <mergeCell ref="P68:R68"/>
    <mergeCell ref="K9:L9"/>
    <mergeCell ref="P11:W35"/>
  </mergeCells>
  <phoneticPr fontId="18" type="noConversion"/>
  <conditionalFormatting sqref="K12:K35">
    <cfRule type="expression" dxfId="11" priority="8">
      <formula>K12=MIN($K$12:$K$35)</formula>
    </cfRule>
    <cfRule type="expression" dxfId="10" priority="22" stopIfTrue="1">
      <formula>K12=MAX($K$12:$K$35)</formula>
    </cfRule>
    <cfRule type="aboveAverage" dxfId="9" priority="23"/>
  </conditionalFormatting>
  <conditionalFormatting sqref="N12:N35">
    <cfRule type="expression" dxfId="8" priority="1">
      <formula>N12=MIN($N$12:$N$35)</formula>
    </cfRule>
    <cfRule type="expression" dxfId="7" priority="16">
      <formula>N12=MAX($N$12:$N$35)</formula>
    </cfRule>
    <cfRule type="expression" dxfId="6" priority="17">
      <formula>ABS(N12)&gt;AVERAGE(ABS($N$12:$N$35))</formula>
    </cfRule>
  </conditionalFormatting>
  <conditionalFormatting sqref="L12:L35">
    <cfRule type="expression" dxfId="5" priority="5">
      <formula>ABS(L12)=MIN(ABS($L$12:$L$35))</formula>
    </cfRule>
    <cfRule type="expression" dxfId="4" priority="6">
      <formula>ABS(L12)=MAX(ABS($L$12:$L$35))</formula>
    </cfRule>
    <cfRule type="expression" dxfId="3" priority="7">
      <formula>ABS(L12)&gt;AVERAGE(ABS($L$12:$L$35))</formula>
    </cfRule>
  </conditionalFormatting>
  <conditionalFormatting sqref="M12:M35">
    <cfRule type="expression" dxfId="2" priority="2">
      <formula>ABS(M12)=MIN(ABS($M$12:$M$35))</formula>
    </cfRule>
    <cfRule type="expression" dxfId="1" priority="3">
      <formula>ABS(M12)=MAX(ABS($M$12:$M$35))</formula>
    </cfRule>
    <cfRule type="expression" dxfId="0" priority="4">
      <formula>ABS(M12)&gt;AVERAGE(ABS($M$12:$M$35))</formula>
    </cfRule>
  </conditionalFormatting>
  <pageMargins left="0.75" right="0.75" top="1" bottom="1" header="0.5" footer="0.5"/>
  <pageSetup paperSize="9" orientation="portrait" r:id="rId1"/>
  <ignoredErrors>
    <ignoredError sqref="L85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(default)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9290</cp:lastModifiedBy>
  <dcterms:created xsi:type="dcterms:W3CDTF">2021-03-22T01:03:16Z</dcterms:created>
  <dcterms:modified xsi:type="dcterms:W3CDTF">2024-01-08T10:34:20Z</dcterms:modified>
</cp:coreProperties>
</file>