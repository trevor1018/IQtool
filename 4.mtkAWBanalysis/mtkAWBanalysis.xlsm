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6.mtkAWBanalysis\"/>
    </mc:Choice>
  </mc:AlternateContent>
  <xr:revisionPtr revIDLastSave="0" documentId="13_ncr:1_{754C9462-686E-46BF-8FAA-886898466EEB}" xr6:coauthVersionLast="47" xr6:coauthVersionMax="47" xr10:uidLastSave="{00000000-0000-0000-0000-000000000000}"/>
  <bookViews>
    <workbookView minimized="1" xWindow="1035" yWindow="4125" windowWidth="18000" windowHeight="11385" xr2:uid="{800138FD-3973-4510-9F6A-56865FB86B8E}"/>
  </bookViews>
  <sheets>
    <sheet name="0.AWBanalysis" sheetId="3" r:id="rId1"/>
    <sheet name="P1curve" sheetId="1" r:id="rId2"/>
  </sheets>
  <definedNames>
    <definedName name="solver_adj" localSheetId="0" hidden="1">'0.AWBanalysis'!$O$39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'0.AWBanalysis'!$K$4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'0.AWBanalysis'!$L$48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hs1" localSheetId="0" hidden="1">1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722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0" i="3" l="1"/>
  <c r="I5" i="3"/>
  <c r="AY21" i="3"/>
  <c r="N20" i="3"/>
  <c r="M66" i="3"/>
  <c r="L66" i="3"/>
  <c r="AY85" i="3"/>
  <c r="AW85" i="3"/>
  <c r="AY84" i="3"/>
  <c r="AW84" i="3"/>
  <c r="AY82" i="3"/>
  <c r="AW83" i="3" s="1"/>
  <c r="AY83" i="3" s="1"/>
  <c r="AY81" i="3" a="1"/>
  <c r="AY81" i="3" s="1"/>
  <c r="AW82" i="3" s="1"/>
  <c r="J26" i="3"/>
  <c r="J25" i="3"/>
  <c r="P21" i="3"/>
  <c r="P83" i="3"/>
  <c r="AR43" i="3"/>
  <c r="AH43" i="3"/>
  <c r="P14" i="3" l="1"/>
  <c r="Z58" i="3" l="1"/>
  <c r="Z59" i="3"/>
  <c r="Z60" i="3"/>
  <c r="Z61" i="3"/>
  <c r="Z62" i="3"/>
  <c r="Z63" i="3"/>
  <c r="Z57" i="3"/>
  <c r="AT82" i="3"/>
  <c r="AR83" i="3" s="1"/>
  <c r="AT83" i="3" s="1"/>
  <c r="AT81" i="3" a="1"/>
  <c r="AT81" i="3" s="1"/>
  <c r="AR82" i="3" s="1"/>
  <c r="AO82" i="3"/>
  <c r="AM83" i="3" s="1"/>
  <c r="AO83" i="3" s="1"/>
  <c r="AO81" i="3" a="1"/>
  <c r="AO81" i="3" s="1"/>
  <c r="AM82" i="3" s="1"/>
  <c r="AJ82" i="3"/>
  <c r="AH83" i="3" s="1"/>
  <c r="AJ83" i="3" s="1"/>
  <c r="AJ81" i="3" a="1"/>
  <c r="AJ81" i="3" s="1"/>
  <c r="AH82" i="3" s="1"/>
  <c r="AE82" i="3"/>
  <c r="AC83" i="3" s="1"/>
  <c r="AE83" i="3" s="1"/>
  <c r="AE81" i="3" a="1"/>
  <c r="AE81" i="3" s="1"/>
  <c r="AC82" i="3" s="1"/>
  <c r="Z82" i="3"/>
  <c r="X83" i="3" s="1"/>
  <c r="Z83" i="3" s="1"/>
  <c r="Z81" i="3" a="1"/>
  <c r="Z81" i="3" s="1"/>
  <c r="X82" i="3" s="1"/>
  <c r="U82" i="3"/>
  <c r="S83" i="3" s="1"/>
  <c r="U83" i="3" s="1"/>
  <c r="U81" i="3" a="1"/>
  <c r="U81" i="3" s="1"/>
  <c r="S82" i="3" s="1"/>
  <c r="P81" i="3" a="1"/>
  <c r="P81" i="3" s="1"/>
  <c r="N82" i="3" s="1"/>
  <c r="P82" i="3"/>
  <c r="N83" i="3" s="1"/>
  <c r="E49" i="3"/>
  <c r="E50" i="3"/>
  <c r="E51" i="3"/>
  <c r="E52" i="3"/>
  <c r="E53" i="3"/>
  <c r="E54" i="3"/>
  <c r="E48" i="3"/>
  <c r="AT21" i="3"/>
  <c r="AO21" i="3"/>
  <c r="AJ21" i="3"/>
  <c r="J24" i="3" s="1"/>
  <c r="AE21" i="3"/>
  <c r="J23" i="3" s="1"/>
  <c r="Z21" i="3"/>
  <c r="J22" i="3" s="1"/>
  <c r="U21" i="3"/>
  <c r="J21" i="3" s="1"/>
  <c r="J50" i="3"/>
  <c r="J48" i="3" l="1"/>
  <c r="J54" i="3"/>
  <c r="J53" i="3"/>
  <c r="J52" i="3"/>
  <c r="J49" i="3"/>
  <c r="J51" i="3"/>
  <c r="E27" i="3"/>
  <c r="AR42" i="3" l="1"/>
  <c r="AT44" i="3" s="1"/>
  <c r="AR45" i="3" s="1"/>
  <c r="AT45" i="3" s="1"/>
  <c r="AH42" i="3"/>
  <c r="AJ44" i="3" s="1"/>
  <c r="S62" i="3" l="1"/>
  <c r="U62" i="3" s="1"/>
  <c r="S63" i="3" s="1"/>
  <c r="S60" i="3"/>
  <c r="U60" i="3" s="1"/>
  <c r="S61" i="3" s="1"/>
  <c r="J62" i="3"/>
  <c r="J58" i="3"/>
  <c r="J57" i="3"/>
  <c r="S58" i="3"/>
  <c r="U58" i="3" s="1"/>
  <c r="S59" i="3" s="1"/>
  <c r="AE58" i="3"/>
  <c r="AE59" i="3"/>
  <c r="AE60" i="3"/>
  <c r="AE61" i="3"/>
  <c r="AE62" i="3"/>
  <c r="AE63" i="3"/>
  <c r="AE57" i="3"/>
  <c r="P62" i="3"/>
  <c r="P60" i="3"/>
  <c r="P58" i="3"/>
  <c r="C11" i="1"/>
  <c r="D11" i="1"/>
  <c r="E11" i="1"/>
  <c r="F11" i="1"/>
  <c r="G11" i="1"/>
  <c r="H11" i="1"/>
  <c r="I11" i="1"/>
  <c r="C12" i="1"/>
  <c r="D12" i="1"/>
  <c r="E12" i="1"/>
  <c r="F12" i="1"/>
  <c r="G12" i="1"/>
  <c r="H12" i="1"/>
  <c r="I12" i="1"/>
  <c r="C13" i="1"/>
  <c r="D13" i="1"/>
  <c r="E13" i="1"/>
  <c r="F13" i="1"/>
  <c r="G13" i="1"/>
  <c r="H13" i="1"/>
  <c r="I13" i="1"/>
  <c r="C14" i="1"/>
  <c r="D14" i="1"/>
  <c r="E14" i="1"/>
  <c r="F14" i="1"/>
  <c r="G14" i="1"/>
  <c r="H14" i="1"/>
  <c r="I14" i="1"/>
  <c r="C15" i="1"/>
  <c r="D15" i="1"/>
  <c r="E15" i="1"/>
  <c r="F15" i="1"/>
  <c r="G15" i="1"/>
  <c r="H15" i="1"/>
  <c r="I15" i="1"/>
  <c r="C16" i="1"/>
  <c r="D16" i="1"/>
  <c r="E16" i="1"/>
  <c r="F16" i="1"/>
  <c r="G16" i="1"/>
  <c r="H16" i="1"/>
  <c r="I16" i="1"/>
  <c r="C17" i="1"/>
  <c r="D17" i="1"/>
  <c r="E17" i="1"/>
  <c r="F17" i="1"/>
  <c r="G17" i="1"/>
  <c r="H17" i="1"/>
  <c r="I17" i="1"/>
  <c r="C18" i="1"/>
  <c r="D18" i="1"/>
  <c r="E18" i="1"/>
  <c r="F18" i="1"/>
  <c r="G18" i="1"/>
  <c r="H18" i="1"/>
  <c r="I18" i="1"/>
  <c r="C19" i="1"/>
  <c r="D19" i="1"/>
  <c r="E19" i="1"/>
  <c r="F19" i="1"/>
  <c r="G19" i="1"/>
  <c r="H19" i="1"/>
  <c r="I19" i="1"/>
  <c r="C20" i="1"/>
  <c r="D20" i="1"/>
  <c r="E20" i="1"/>
  <c r="F20" i="1"/>
  <c r="G20" i="1"/>
  <c r="H20" i="1"/>
  <c r="I20" i="1"/>
  <c r="C21" i="1"/>
  <c r="D21" i="1"/>
  <c r="E21" i="1"/>
  <c r="F21" i="1"/>
  <c r="G21" i="1"/>
  <c r="H21" i="1"/>
  <c r="I21" i="1"/>
  <c r="C22" i="1"/>
  <c r="D22" i="1"/>
  <c r="E22" i="1"/>
  <c r="F22" i="1"/>
  <c r="G22" i="1"/>
  <c r="H22" i="1"/>
  <c r="I22" i="1"/>
  <c r="C23" i="1"/>
  <c r="D23" i="1"/>
  <c r="E23" i="1"/>
  <c r="F23" i="1"/>
  <c r="G23" i="1"/>
  <c r="H23" i="1"/>
  <c r="I23" i="1"/>
  <c r="C24" i="1"/>
  <c r="D24" i="1"/>
  <c r="E24" i="1"/>
  <c r="F24" i="1"/>
  <c r="G24" i="1"/>
  <c r="H24" i="1"/>
  <c r="I24" i="1"/>
  <c r="C25" i="1"/>
  <c r="D25" i="1"/>
  <c r="E25" i="1"/>
  <c r="F25" i="1"/>
  <c r="G25" i="1"/>
  <c r="H25" i="1"/>
  <c r="I25" i="1"/>
  <c r="C26" i="1"/>
  <c r="D26" i="1"/>
  <c r="E26" i="1"/>
  <c r="F26" i="1"/>
  <c r="G26" i="1"/>
  <c r="H26" i="1"/>
  <c r="I26" i="1"/>
  <c r="C27" i="1"/>
  <c r="D27" i="1"/>
  <c r="E27" i="1"/>
  <c r="F27" i="1"/>
  <c r="G27" i="1"/>
  <c r="H27" i="1"/>
  <c r="I27" i="1"/>
  <c r="C28" i="1"/>
  <c r="D28" i="1"/>
  <c r="E28" i="1"/>
  <c r="F28" i="1"/>
  <c r="G28" i="1"/>
  <c r="H28" i="1"/>
  <c r="I28" i="1"/>
  <c r="C29" i="1"/>
  <c r="D29" i="1"/>
  <c r="E29" i="1"/>
  <c r="F29" i="1"/>
  <c r="G29" i="1"/>
  <c r="H29" i="1"/>
  <c r="I29" i="1"/>
  <c r="C30" i="1"/>
  <c r="D30" i="1"/>
  <c r="E30" i="1"/>
  <c r="F30" i="1"/>
  <c r="G30" i="1"/>
  <c r="H30" i="1"/>
  <c r="I30" i="1"/>
  <c r="C31" i="1"/>
  <c r="D31" i="1"/>
  <c r="E31" i="1"/>
  <c r="F31" i="1"/>
  <c r="G31" i="1"/>
  <c r="H31" i="1"/>
  <c r="I31" i="1"/>
  <c r="C32" i="1"/>
  <c r="D32" i="1"/>
  <c r="E32" i="1"/>
  <c r="F32" i="1"/>
  <c r="G32" i="1"/>
  <c r="H32" i="1"/>
  <c r="I32" i="1"/>
  <c r="D10" i="1"/>
  <c r="E10" i="1"/>
  <c r="F10" i="1"/>
  <c r="G10" i="1"/>
  <c r="H10" i="1"/>
  <c r="I10" i="1"/>
  <c r="C10" i="1"/>
  <c r="AT54" i="3"/>
  <c r="AO54" i="3"/>
  <c r="AJ54" i="3"/>
  <c r="AE54" i="3"/>
  <c r="Z54" i="3"/>
  <c r="U54" i="3"/>
  <c r="P54" i="3"/>
  <c r="AE45" i="3"/>
  <c r="AP37" i="3"/>
  <c r="AS46" i="3" s="1"/>
  <c r="AF37" i="3"/>
  <c r="AI46" i="3" s="1"/>
  <c r="AC45" i="3"/>
  <c r="AM37" i="3"/>
  <c r="AH45" i="3"/>
  <c r="AJ45" i="3" s="1"/>
  <c r="AC37" i="3"/>
  <c r="AE37" i="3" s="1"/>
  <c r="U40" i="3" l="1"/>
  <c r="U39" i="3"/>
  <c r="P36" i="3" s="1"/>
  <c r="U45" i="3"/>
  <c r="U44" i="3"/>
  <c r="U43" i="3"/>
  <c r="U41" i="3"/>
  <c r="U42" i="3"/>
  <c r="AR37" i="3"/>
  <c r="AH46" i="3"/>
  <c r="AJ46" i="3" s="1"/>
  <c r="AH37" i="3"/>
  <c r="AO37" i="3"/>
  <c r="AT35" i="3"/>
  <c r="AT52" i="3"/>
  <c r="AR52" i="3"/>
  <c r="AO52" i="3"/>
  <c r="AM52" i="3"/>
  <c r="AJ52" i="3"/>
  <c r="AH52" i="3"/>
  <c r="AE52" i="3"/>
  <c r="AC52" i="3"/>
  <c r="Z52" i="3"/>
  <c r="X52" i="3"/>
  <c r="U52" i="3"/>
  <c r="S52" i="3"/>
  <c r="P52" i="3"/>
  <c r="N52" i="3"/>
  <c r="F47" i="3"/>
  <c r="F48" i="3" s="1"/>
  <c r="F49" i="3" l="1"/>
  <c r="F40" i="3" s="1"/>
  <c r="F50" i="3"/>
  <c r="F41" i="3" s="1"/>
  <c r="F54" i="3"/>
  <c r="F45" i="3" s="1"/>
  <c r="AE36" i="3"/>
  <c r="AE35" i="3"/>
  <c r="AO36" i="3"/>
  <c r="AO35" i="3"/>
  <c r="AJ36" i="3"/>
  <c r="AJ35" i="3"/>
  <c r="AS37" i="3"/>
  <c r="AT37" i="3" s="1"/>
  <c r="F39" i="3"/>
  <c r="AR46" i="3"/>
  <c r="AT46" i="3" s="1"/>
  <c r="AO45" i="3"/>
  <c r="AM45" i="3"/>
  <c r="AI37" i="3"/>
  <c r="AJ37" i="3" s="1"/>
  <c r="AT36" i="3"/>
  <c r="P35" i="3"/>
  <c r="U35" i="3"/>
  <c r="U36" i="3"/>
  <c r="F53" i="3"/>
  <c r="F44" i="3" s="1"/>
  <c r="F52" i="3"/>
  <c r="F43" i="3" s="1"/>
  <c r="F51" i="3"/>
  <c r="F42" i="3" s="1"/>
  <c r="E45" i="3" l="1"/>
  <c r="F36" i="3" s="1"/>
  <c r="E40" i="3"/>
  <c r="U61" i="3" s="1"/>
  <c r="E39" i="3"/>
  <c r="E41" i="3"/>
  <c r="E42" i="3"/>
  <c r="E43" i="3"/>
  <c r="F34" i="3" s="1"/>
  <c r="E44" i="3"/>
  <c r="U59" i="3"/>
  <c r="F33" i="3"/>
  <c r="U63" i="3"/>
  <c r="F32" i="3"/>
  <c r="AT41" i="3"/>
  <c r="AT43" i="3" s="1"/>
  <c r="AR44" i="3" s="1"/>
  <c r="Z35" i="3"/>
  <c r="Z36" i="3"/>
  <c r="F30" i="3"/>
  <c r="K47" i="3"/>
  <c r="K54" i="3" s="1"/>
  <c r="L27" i="3"/>
  <c r="M20" i="3"/>
  <c r="F31" i="3" l="1"/>
  <c r="E34" i="3" s="1"/>
  <c r="F35" i="3"/>
  <c r="K50" i="3"/>
  <c r="K52" i="3"/>
  <c r="K53" i="3"/>
  <c r="K51" i="3"/>
  <c r="K48" i="3"/>
  <c r="K49" i="3"/>
  <c r="AJ41" i="3"/>
  <c r="AJ43" i="3" s="1"/>
  <c r="J27" i="3"/>
  <c r="K45" i="3"/>
  <c r="P13" i="3"/>
  <c r="P16" i="3"/>
  <c r="E31" i="3" l="1"/>
  <c r="E33" i="3"/>
  <c r="E36" i="3"/>
  <c r="E35" i="3"/>
  <c r="E32" i="3"/>
  <c r="E30" i="3"/>
  <c r="K44" i="3"/>
  <c r="K42" i="3"/>
  <c r="K39" i="3"/>
  <c r="K41" i="3"/>
  <c r="K43" i="3"/>
  <c r="K40" i="3"/>
  <c r="AH44" i="3"/>
  <c r="L5" i="1"/>
  <c r="B60" i="1" s="1"/>
  <c r="F60" i="1" s="1"/>
  <c r="J44" i="3" l="1"/>
  <c r="J45" i="3"/>
  <c r="K36" i="3" s="1"/>
  <c r="J39" i="3"/>
  <c r="K30" i="3" s="1"/>
  <c r="J40" i="3"/>
  <c r="J41" i="3"/>
  <c r="K32" i="3" s="1"/>
  <c r="J42" i="3"/>
  <c r="K33" i="3" s="1"/>
  <c r="J43" i="3"/>
  <c r="K34" i="3" s="1"/>
  <c r="K31" i="3"/>
  <c r="K35" i="3"/>
  <c r="C60" i="1"/>
  <c r="I60" i="1"/>
  <c r="H60" i="1"/>
  <c r="G60" i="1"/>
  <c r="E60" i="1"/>
  <c r="D60" i="1"/>
  <c r="B61" i="1"/>
  <c r="B62" i="1"/>
  <c r="I62" i="1" s="1"/>
  <c r="J33" i="3" l="1"/>
  <c r="J36" i="3"/>
  <c r="J34" i="3"/>
  <c r="J35" i="3"/>
  <c r="J30" i="3"/>
  <c r="J31" i="3"/>
  <c r="J32" i="3"/>
  <c r="D61" i="1"/>
  <c r="C61" i="1"/>
  <c r="O6" i="1" s="1"/>
  <c r="E61" i="1"/>
  <c r="Q6" i="1" s="1"/>
  <c r="F61" i="1"/>
  <c r="R6" i="1" s="1"/>
  <c r="G61" i="1"/>
  <c r="S6" i="1" s="1"/>
  <c r="H61" i="1"/>
  <c r="T6" i="1" s="1"/>
  <c r="I61" i="1"/>
  <c r="U6" i="1" s="1"/>
  <c r="E62" i="1"/>
  <c r="C62" i="1"/>
  <c r="G62" i="1"/>
  <c r="H62" i="1"/>
  <c r="F62" i="1"/>
  <c r="D62" i="1"/>
  <c r="B63" i="1"/>
  <c r="I63" i="1" s="1"/>
  <c r="U7" i="1" s="1"/>
  <c r="P6" i="1"/>
  <c r="N85" i="3" l="1"/>
  <c r="P85" i="3" s="1"/>
  <c r="S85" i="3" s="1"/>
  <c r="N84" i="3"/>
  <c r="P84" i="3" s="1"/>
  <c r="S84" i="3" s="1"/>
  <c r="X13" i="3"/>
  <c r="X12" i="3"/>
  <c r="E12" i="3"/>
  <c r="E13" i="3"/>
  <c r="G63" i="1"/>
  <c r="S7" i="1" s="1"/>
  <c r="D63" i="1"/>
  <c r="P7" i="1" s="1"/>
  <c r="H63" i="1"/>
  <c r="T7" i="1" s="1"/>
  <c r="F63" i="1"/>
  <c r="R7" i="1" s="1"/>
  <c r="C63" i="1"/>
  <c r="O7" i="1" s="1"/>
  <c r="E63" i="1"/>
  <c r="Q7" i="1" s="1"/>
  <c r="U84" i="3" l="1"/>
  <c r="X84" i="3" s="1"/>
  <c r="U85" i="3"/>
  <c r="X85" i="3" s="1"/>
  <c r="Z85" i="3" l="1"/>
  <c r="AC85" i="3" s="1"/>
  <c r="Z84" i="3"/>
  <c r="AC84" i="3" s="1"/>
  <c r="AE84" i="3" s="1"/>
  <c r="AH84" i="3" s="1"/>
  <c r="AJ84" i="3" l="1"/>
  <c r="AM84" i="3" s="1"/>
  <c r="AE85" i="3"/>
  <c r="AH85" i="3" s="1"/>
  <c r="AO84" i="3" l="1"/>
  <c r="AR84" i="3" s="1"/>
  <c r="AJ85" i="3"/>
  <c r="AM85" i="3" s="1"/>
  <c r="AO85" i="3" l="1"/>
  <c r="AR85" i="3" s="1"/>
  <c r="AT84" i="3"/>
  <c r="J5" i="3" l="1"/>
  <c r="M5" i="3" s="1"/>
  <c r="AT85" i="3"/>
  <c r="I6" i="3" s="1"/>
  <c r="M8" i="3" l="1"/>
  <c r="J6" i="3"/>
  <c r="M6" i="3" s="1"/>
  <c r="M9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<sst xmlns="http://schemas.openxmlformats.org/spreadsheetml/2006/main" count="821" uniqueCount="305">
  <si>
    <t>MTK AWB P1 visual distribution</t>
    <phoneticPr fontId="1" type="noConversion"/>
  </si>
  <si>
    <t>LV</t>
    <phoneticPr fontId="1" type="noConversion"/>
  </si>
  <si>
    <t>default</t>
    <phoneticPr fontId="1" type="noConversion"/>
  </si>
  <si>
    <t>modify</t>
    <phoneticPr fontId="1" type="noConversion"/>
  </si>
  <si>
    <t>P1</t>
    <phoneticPr fontId="1" type="noConversion"/>
  </si>
  <si>
    <t>P2</t>
    <phoneticPr fontId="1" type="noConversion"/>
  </si>
  <si>
    <t>MTK AWB analysis</t>
    <phoneticPr fontId="1" type="noConversion"/>
  </si>
  <si>
    <t>EXIF TAG</t>
  </si>
  <si>
    <t>value</t>
  </si>
  <si>
    <t>AWB_TAG_NEUTRAL_PB_NUM_T</t>
    <phoneticPr fontId="1" type="noConversion"/>
  </si>
  <si>
    <t>AWB_TAG_NEUTRAL_PB_NUM_WF</t>
    <phoneticPr fontId="1" type="noConversion"/>
  </si>
  <si>
    <t>AWB_TAG_NEUTRAL_PB_NUM_F</t>
    <phoneticPr fontId="1" type="noConversion"/>
  </si>
  <si>
    <t>AWB_TAG_NEUTRAL_PB_NUM_CWF</t>
    <phoneticPr fontId="1" type="noConversion"/>
  </si>
  <si>
    <t>AWB_TAG_NEUTRAL_PB_NUM_D</t>
    <phoneticPr fontId="1" type="noConversion"/>
  </si>
  <si>
    <t>AWB_TAG_NEUTRAL_PB_NUM_S</t>
    <phoneticPr fontId="1" type="noConversion"/>
  </si>
  <si>
    <t>AWB_TAG_NEUTRAL_PB_NUM_DF</t>
    <phoneticPr fontId="1" type="noConversion"/>
  </si>
  <si>
    <t>AWB_TAG_P0_T</t>
    <phoneticPr fontId="1" type="noConversion"/>
  </si>
  <si>
    <t>AWB_TAG_P0_WF</t>
    <phoneticPr fontId="1" type="noConversion"/>
  </si>
  <si>
    <t>AWB_TAG_P0_F</t>
    <phoneticPr fontId="1" type="noConversion"/>
  </si>
  <si>
    <t>AWB_TAG_P0_CWF</t>
    <phoneticPr fontId="1" type="noConversion"/>
  </si>
  <si>
    <t>AWB_TAG_P0_D</t>
    <phoneticPr fontId="1" type="noConversion"/>
  </si>
  <si>
    <t>AWB_TAG_P0_S</t>
    <phoneticPr fontId="1" type="noConversion"/>
  </si>
  <si>
    <t>AWB_TAG_P0_DF</t>
    <phoneticPr fontId="1" type="noConversion"/>
  </si>
  <si>
    <t>P0 (after exclude color)</t>
    <phoneticPr fontId="1" type="noConversion"/>
  </si>
  <si>
    <t>AWB_TAG_P1_T</t>
    <phoneticPr fontId="1" type="noConversion"/>
  </si>
  <si>
    <t>AWB_TAG_P1_WF</t>
    <phoneticPr fontId="1" type="noConversion"/>
  </si>
  <si>
    <t>AWB_TAG_P1_F</t>
    <phoneticPr fontId="1" type="noConversion"/>
  </si>
  <si>
    <t>AWB_TAG_P1_CWF</t>
    <phoneticPr fontId="1" type="noConversion"/>
  </si>
  <si>
    <t>AWB_TAG_P1_D</t>
    <phoneticPr fontId="1" type="noConversion"/>
  </si>
  <si>
    <t>AWB_TAG_P1_S</t>
    <phoneticPr fontId="1" type="noConversion"/>
  </si>
  <si>
    <t>AWB_TAG_P1_DF</t>
    <phoneticPr fontId="1" type="noConversion"/>
  </si>
  <si>
    <t>AWB_TAG_P2_T</t>
    <phoneticPr fontId="1" type="noConversion"/>
  </si>
  <si>
    <t>AWB_TAG_P2_WF</t>
    <phoneticPr fontId="1" type="noConversion"/>
  </si>
  <si>
    <t>AWB_TAG_P2_F</t>
    <phoneticPr fontId="1" type="noConversion"/>
  </si>
  <si>
    <t>AWB_TAG_P2_CWF</t>
    <phoneticPr fontId="1" type="noConversion"/>
  </si>
  <si>
    <t>AWB_TAG_P2_D</t>
    <phoneticPr fontId="1" type="noConversion"/>
  </si>
  <si>
    <t>AWB_TAG_P2_S</t>
    <phoneticPr fontId="1" type="noConversion"/>
  </si>
  <si>
    <t>AWB_TAG_P2_DF</t>
    <phoneticPr fontId="1" type="noConversion"/>
  </si>
  <si>
    <t>PB stastics (before exclude)</t>
    <phoneticPr fontId="1" type="noConversion"/>
  </si>
  <si>
    <t>P0 (before exclude)</t>
    <phoneticPr fontId="1" type="noConversion"/>
  </si>
  <si>
    <t>P (before exclude)</t>
    <phoneticPr fontId="1" type="noConversion"/>
  </si>
  <si>
    <t>P (after exclude)</t>
    <phoneticPr fontId="1" type="noConversion"/>
  </si>
  <si>
    <t>AWB_TAG_P_T</t>
    <phoneticPr fontId="1" type="noConversion"/>
  </si>
  <si>
    <t>AWB_TAG_P_WF</t>
    <phoneticPr fontId="1" type="noConversion"/>
  </si>
  <si>
    <t>AWB_TAG_P_F</t>
    <phoneticPr fontId="1" type="noConversion"/>
  </si>
  <si>
    <t>AWB_TAG_P_CWF</t>
    <phoneticPr fontId="1" type="noConversion"/>
  </si>
  <si>
    <t>PB stastics (after exclude)</t>
    <phoneticPr fontId="1" type="noConversion"/>
  </si>
  <si>
    <t>"Out of gray world"</t>
    <phoneticPr fontId="1" type="noConversion"/>
  </si>
  <si>
    <t>AWB_TAG_GAIN_R</t>
    <phoneticPr fontId="1" type="noConversion"/>
  </si>
  <si>
    <t>AWB_TAG_GAIN_B</t>
    <phoneticPr fontId="1" type="noConversion"/>
  </si>
  <si>
    <t>AWB_TAG_ALGO_SCENE_LV</t>
    <phoneticPr fontId="1" type="noConversion"/>
  </si>
  <si>
    <t>AWB_TAG_CCT</t>
    <phoneticPr fontId="1" type="noConversion"/>
  </si>
  <si>
    <t>AREA_U</t>
    <phoneticPr fontId="1" type="noConversion"/>
  </si>
  <si>
    <t>AREA_D</t>
    <phoneticPr fontId="1" type="noConversion"/>
  </si>
  <si>
    <t>AREA_L</t>
    <phoneticPr fontId="1" type="noConversion"/>
  </si>
  <si>
    <t>AREA_R</t>
    <phoneticPr fontId="1" type="noConversion"/>
  </si>
  <si>
    <t>WEIGHT</t>
    <phoneticPr fontId="1" type="noConversion"/>
  </si>
  <si>
    <t>GAVG_L</t>
    <phoneticPr fontId="1" type="noConversion"/>
  </si>
  <si>
    <t>GAVG_H</t>
    <phoneticPr fontId="1" type="noConversion"/>
  </si>
  <si>
    <t>LV_L</t>
    <phoneticPr fontId="1" type="noConversion"/>
  </si>
  <si>
    <t>LV_H</t>
    <phoneticPr fontId="1" type="noConversion"/>
  </si>
  <si>
    <t>exclude &amp; sum</t>
    <phoneticPr fontId="1" type="noConversion"/>
  </si>
  <si>
    <t>sumP</t>
    <phoneticPr fontId="1" type="noConversion"/>
  </si>
  <si>
    <t>STA_GAIN_R_T</t>
    <phoneticPr fontId="1" type="noConversion"/>
  </si>
  <si>
    <t>AWB_TAG_P_D</t>
    <phoneticPr fontId="1" type="noConversion"/>
  </si>
  <si>
    <t>AWB_TAG_P_S</t>
    <phoneticPr fontId="1" type="noConversion"/>
  </si>
  <si>
    <t>AWB_TAG_P_DF</t>
    <phoneticPr fontId="1" type="noConversion"/>
  </si>
  <si>
    <t>STA_GAIN_B_T</t>
    <phoneticPr fontId="1" type="noConversion"/>
  </si>
  <si>
    <t>R ratio</t>
    <phoneticPr fontId="1" type="noConversion"/>
  </si>
  <si>
    <t>B ratio</t>
    <phoneticPr fontId="1" type="noConversion"/>
  </si>
  <si>
    <t>Gain R</t>
    <phoneticPr fontId="1" type="noConversion"/>
  </si>
  <si>
    <t>Gain B</t>
    <phoneticPr fontId="1" type="noConversion"/>
  </si>
  <si>
    <t>SPAT_GAIN_R_T</t>
    <phoneticPr fontId="1" type="noConversion"/>
  </si>
  <si>
    <t>SPAT_GAIN_B_T</t>
    <phoneticPr fontId="1" type="noConversion"/>
  </si>
  <si>
    <t>EQV_GAIN_R_T</t>
    <phoneticPr fontId="1" type="noConversion"/>
  </si>
  <si>
    <t>EQV_GAIN_B_T</t>
    <phoneticPr fontId="1" type="noConversion"/>
  </si>
  <si>
    <t>STA_GAIN_R_WF</t>
    <phoneticPr fontId="1" type="noConversion"/>
  </si>
  <si>
    <t>STA_GAIN_B_WF</t>
    <phoneticPr fontId="1" type="noConversion"/>
  </si>
  <si>
    <t>SPAT_GAIN_R_WF</t>
    <phoneticPr fontId="1" type="noConversion"/>
  </si>
  <si>
    <t>SPAT_GAIN_B_WF</t>
    <phoneticPr fontId="1" type="noConversion"/>
  </si>
  <si>
    <t>EQV_GAIN_R_WF</t>
    <phoneticPr fontId="1" type="noConversion"/>
  </si>
  <si>
    <t>EQV_GAIN_B_WF</t>
    <phoneticPr fontId="1" type="noConversion"/>
  </si>
  <si>
    <t>STA_GAIN_R_F</t>
    <phoneticPr fontId="1" type="noConversion"/>
  </si>
  <si>
    <t>STA_GAIN_B_F</t>
    <phoneticPr fontId="1" type="noConversion"/>
  </si>
  <si>
    <t>SPAT_GAIN_R_F</t>
    <phoneticPr fontId="1" type="noConversion"/>
  </si>
  <si>
    <t>SPAT_GAIN_B_F</t>
    <phoneticPr fontId="1" type="noConversion"/>
  </si>
  <si>
    <t>EQV_GAIN_R_F</t>
    <phoneticPr fontId="1" type="noConversion"/>
  </si>
  <si>
    <t>EQV_GAIN_B_F</t>
    <phoneticPr fontId="1" type="noConversion"/>
  </si>
  <si>
    <t>STA_GAIN_R_CWF</t>
    <phoneticPr fontId="1" type="noConversion"/>
  </si>
  <si>
    <t>STA_GAIN_B_CWF</t>
    <phoneticPr fontId="1" type="noConversion"/>
  </si>
  <si>
    <t>SPAT_GAIN_R_CWF</t>
    <phoneticPr fontId="1" type="noConversion"/>
  </si>
  <si>
    <t>SPAT_GAIN_B_CWF</t>
    <phoneticPr fontId="1" type="noConversion"/>
  </si>
  <si>
    <t>EQV_GAIN_R_CWF</t>
    <phoneticPr fontId="1" type="noConversion"/>
  </si>
  <si>
    <t>EQV_GAIN_B_CWF</t>
    <phoneticPr fontId="1" type="noConversion"/>
  </si>
  <si>
    <t>STA_GAIN_R_D</t>
    <phoneticPr fontId="1" type="noConversion"/>
  </si>
  <si>
    <t>STA_GAIN_B_D</t>
    <phoneticPr fontId="1" type="noConversion"/>
  </si>
  <si>
    <t>SPAT_GAIN_R_D</t>
    <phoneticPr fontId="1" type="noConversion"/>
  </si>
  <si>
    <t>SPAT_GAIN_B_D</t>
    <phoneticPr fontId="1" type="noConversion"/>
  </si>
  <si>
    <t>EQV_GAIN_R_D</t>
    <phoneticPr fontId="1" type="noConversion"/>
  </si>
  <si>
    <t>EQV_GAIN_B_D</t>
    <phoneticPr fontId="1" type="noConversion"/>
  </si>
  <si>
    <t>STA_GAIN_R_S</t>
    <phoneticPr fontId="1" type="noConversion"/>
  </si>
  <si>
    <t>STA_GAIN_B_S</t>
    <phoneticPr fontId="1" type="noConversion"/>
  </si>
  <si>
    <t>SPAT_GAIN_R_S</t>
    <phoneticPr fontId="1" type="noConversion"/>
  </si>
  <si>
    <t>SPAT_GAIN_B_S</t>
    <phoneticPr fontId="1" type="noConversion"/>
  </si>
  <si>
    <t>EQV_GAIN_R_S</t>
    <phoneticPr fontId="1" type="noConversion"/>
  </si>
  <si>
    <t>EQV_GAIN_B_S</t>
    <phoneticPr fontId="1" type="noConversion"/>
  </si>
  <si>
    <t>STA_GAIN_R_DF</t>
    <phoneticPr fontId="1" type="noConversion"/>
  </si>
  <si>
    <t>STA_GAIN_B_DF</t>
    <phoneticPr fontId="1" type="noConversion"/>
  </si>
  <si>
    <t>SPAT_GAIN_R_DF</t>
    <phoneticPr fontId="1" type="noConversion"/>
  </si>
  <si>
    <t>SPAT_GAIN_B_DF</t>
    <phoneticPr fontId="1" type="noConversion"/>
  </si>
  <si>
    <t>EQV_GAIN_R_DF</t>
    <phoneticPr fontId="1" type="noConversion"/>
  </si>
  <si>
    <t>EQV_GAIN_B_DF</t>
    <phoneticPr fontId="1" type="noConversion"/>
  </si>
  <si>
    <t>DAYLIGHT_PROB_T</t>
    <phoneticPr fontId="1" type="noConversion"/>
  </si>
  <si>
    <t>DAYLIGHT_PROB_WF</t>
    <phoneticPr fontId="1" type="noConversion"/>
  </si>
  <si>
    <t>DAYLIGHT_PROB_F</t>
    <phoneticPr fontId="1" type="noConversion"/>
  </si>
  <si>
    <t>DAYLIGHT_PROB_CWF</t>
    <phoneticPr fontId="1" type="noConversion"/>
  </si>
  <si>
    <t>DAYLIGHT_PROB_D</t>
    <phoneticPr fontId="1" type="noConversion"/>
  </si>
  <si>
    <t>DAYLIGHT_PROB_S</t>
    <phoneticPr fontId="1" type="noConversion"/>
  </si>
  <si>
    <t>DAYLIGHT_PROB_DF</t>
    <phoneticPr fontId="1" type="noConversion"/>
  </si>
  <si>
    <t>EQV_DAYLIGHT_PROB_T</t>
    <phoneticPr fontId="1" type="noConversion"/>
  </si>
  <si>
    <t>EQV_DAYLIGHT_PROB_WF</t>
    <phoneticPr fontId="1" type="noConversion"/>
  </si>
  <si>
    <t>EQV_DAYLIGHT_PROB_F</t>
    <phoneticPr fontId="1" type="noConversion"/>
  </si>
  <si>
    <t>EQV_DAYLIGHT_PROB_CWF</t>
    <phoneticPr fontId="1" type="noConversion"/>
  </si>
  <si>
    <t>EQV_DAYLIGHT_PROB_D</t>
    <phoneticPr fontId="1" type="noConversion"/>
  </si>
  <si>
    <t>EQV_DAYLIGHT_PROB_S</t>
    <phoneticPr fontId="1" type="noConversion"/>
  </si>
  <si>
    <t>EQV_DAYLIGHT_PROB_DF</t>
    <phoneticPr fontId="1" type="noConversion"/>
  </si>
  <si>
    <t>DaylightLocusProb</t>
    <phoneticPr fontId="1" type="noConversion"/>
  </si>
  <si>
    <t>EQV_DaylightLocusProb</t>
    <phoneticPr fontId="1" type="noConversion"/>
  </si>
  <si>
    <t>CAL_R</t>
    <phoneticPr fontId="1" type="noConversion"/>
  </si>
  <si>
    <t>CAL_B</t>
    <phoneticPr fontId="1" type="noConversion"/>
  </si>
  <si>
    <t>1. 使用preferenceGainOptimizer，利用色卡灰階計算R, B gain變化率
2. 調整參數，使modify value接近expected value</t>
    <phoneticPr fontId="1" type="noConversion"/>
  </si>
  <si>
    <t>original</t>
    <phoneticPr fontId="1" type="noConversion"/>
  </si>
  <si>
    <t>modify</t>
  </si>
  <si>
    <t>expected</t>
    <phoneticPr fontId="1" type="noConversion"/>
  </si>
  <si>
    <t>Neutral_BLK_THR</t>
    <phoneticPr fontId="1" type="noConversion"/>
  </si>
  <si>
    <t>CWF_DF_BLK_THR</t>
    <phoneticPr fontId="1" type="noConversion"/>
  </si>
  <si>
    <t>EQV_GAIN_R</t>
    <phoneticPr fontId="1" type="noConversion"/>
  </si>
  <si>
    <t>EQV_GAIN_B</t>
    <phoneticPr fontId="1" type="noConversion"/>
  </si>
  <si>
    <t>NON_EQV gain (SPAT+TEMPO)</t>
    <phoneticPr fontId="1" type="noConversion"/>
  </si>
  <si>
    <t>EQV gain (STA+SPAT)</t>
    <phoneticPr fontId="1" type="noConversion"/>
  </si>
  <si>
    <t>NON_EQV_GAIN_R</t>
    <phoneticPr fontId="1" type="noConversion"/>
  </si>
  <si>
    <t>NON_EQV_GAIN_B</t>
    <phoneticPr fontId="1" type="noConversion"/>
  </si>
  <si>
    <t>T</t>
    <phoneticPr fontId="1" type="noConversion"/>
  </si>
  <si>
    <t>R</t>
    <phoneticPr fontId="1" type="noConversion"/>
  </si>
  <si>
    <t>B</t>
    <phoneticPr fontId="1" type="noConversion"/>
  </si>
  <si>
    <t>WF</t>
    <phoneticPr fontId="1" type="noConversion"/>
  </si>
  <si>
    <t>F</t>
    <phoneticPr fontId="1" type="noConversion"/>
  </si>
  <si>
    <t>CWF</t>
    <phoneticPr fontId="1" type="noConversion"/>
  </si>
  <si>
    <t>D</t>
    <phoneticPr fontId="1" type="noConversion"/>
  </si>
  <si>
    <t>S</t>
    <phoneticPr fontId="1" type="noConversion"/>
  </si>
  <si>
    <t>DF</t>
    <phoneticPr fontId="1" type="noConversion"/>
  </si>
  <si>
    <t>Final preference gain</t>
    <phoneticPr fontId="1" type="noConversion"/>
  </si>
  <si>
    <t>PB &gt; Neutral_BLK_THR &amp; CWF+DF PB &lt; CWF_DF_BLK_THR</t>
    <phoneticPr fontId="1" type="noConversion"/>
  </si>
  <si>
    <t>Temporal gain recording condition</t>
    <phoneticPr fontId="1" type="noConversion"/>
  </si>
  <si>
    <t>PB_NUM_THR_NONEUTRAL</t>
    <phoneticPr fontId="1" type="noConversion"/>
  </si>
  <si>
    <t>Non EQV gain using condition (PB &lt; THR)</t>
    <phoneticPr fontId="1" type="noConversion"/>
  </si>
  <si>
    <t>Reliable mode</t>
    <phoneticPr fontId="1" type="noConversion"/>
  </si>
  <si>
    <t>0: Statistic + Spatial
1: (Statistic + Spatial) + (Spatial + Temporal)
2: Spatial + Temporal</t>
    <phoneticPr fontId="1" type="noConversion"/>
  </si>
  <si>
    <t>P0_clip (before exclude)</t>
    <phoneticPr fontId="1" type="noConversion"/>
  </si>
  <si>
    <t>P0_clip (after exclude color)</t>
    <phoneticPr fontId="1" type="noConversion"/>
  </si>
  <si>
    <t>i4Pbratio</t>
    <phoneticPr fontId="1" type="noConversion"/>
  </si>
  <si>
    <t>i4Range</t>
    <phoneticPr fontId="1" type="noConversion"/>
  </si>
  <si>
    <t>i4Clip</t>
    <phoneticPr fontId="1" type="noConversion"/>
  </si>
  <si>
    <t>THR_T</t>
    <phoneticPr fontId="1" type="noConversion"/>
  </si>
  <si>
    <t>THR_WF</t>
    <phoneticPr fontId="1" type="noConversion"/>
  </si>
  <si>
    <t>THR_S</t>
    <phoneticPr fontId="1" type="noConversion"/>
  </si>
  <si>
    <t>Preference gain</t>
    <phoneticPr fontId="1" type="noConversion"/>
  </si>
  <si>
    <t>Statistic gain constraint</t>
    <phoneticPr fontId="1" type="noConversion"/>
  </si>
  <si>
    <t>AWB_NVRAM_D65_YR</t>
    <phoneticPr fontId="1" type="noConversion"/>
  </si>
  <si>
    <t>AVG_YR_T</t>
    <phoneticPr fontId="1" type="noConversion"/>
  </si>
  <si>
    <t>LIMIT_T</t>
    <phoneticPr fontId="1" type="noConversion"/>
  </si>
  <si>
    <t>W_reduce</t>
    <phoneticPr fontId="1" type="noConversion"/>
  </si>
  <si>
    <t>LIMIT_Y</t>
    <phoneticPr fontId="1" type="noConversion"/>
  </si>
  <si>
    <t>YR dist</t>
    <phoneticPr fontId="1" type="noConversion"/>
  </si>
  <si>
    <t>LIMIT sum</t>
    <phoneticPr fontId="1" type="noConversion"/>
  </si>
  <si>
    <t>EQV_DaylightLocusProb reduce</t>
    <phoneticPr fontId="1" type="noConversion"/>
  </si>
  <si>
    <t>AVG_YR_WF</t>
    <phoneticPr fontId="1" type="noConversion"/>
  </si>
  <si>
    <t>LIMIT</t>
    <phoneticPr fontId="1" type="noConversion"/>
  </si>
  <si>
    <t>AVG_YR_F</t>
    <phoneticPr fontId="1" type="noConversion"/>
  </si>
  <si>
    <t>AVG_YR_CWF</t>
    <phoneticPr fontId="1" type="noConversion"/>
  </si>
  <si>
    <t>AVG_YR_D</t>
    <phoneticPr fontId="1" type="noConversion"/>
  </si>
  <si>
    <t>AVG_YR_S</t>
    <phoneticPr fontId="1" type="noConversion"/>
  </si>
  <si>
    <t>AVG_YR_DF</t>
    <phoneticPr fontId="1" type="noConversion"/>
  </si>
  <si>
    <t>Sub window</t>
    <phoneticPr fontId="1" type="noConversion"/>
  </si>
  <si>
    <t>a</t>
    <phoneticPr fontId="1" type="noConversion"/>
  </si>
  <si>
    <t>b</t>
    <phoneticPr fontId="1" type="noConversion"/>
  </si>
  <si>
    <t>AreaX</t>
    <phoneticPr fontId="1" type="noConversion"/>
  </si>
  <si>
    <t>AreaY</t>
    <phoneticPr fontId="1" type="noConversion"/>
  </si>
  <si>
    <t>Prob</t>
    <phoneticPr fontId="1" type="noConversion"/>
  </si>
  <si>
    <t>VertexX</t>
    <phoneticPr fontId="1" type="noConversion"/>
  </si>
  <si>
    <t>VertexY</t>
    <phoneticPr fontId="1" type="noConversion"/>
  </si>
  <si>
    <t>AreaX'</t>
    <phoneticPr fontId="1" type="noConversion"/>
  </si>
  <si>
    <t>AreaY'</t>
    <phoneticPr fontId="1" type="noConversion"/>
  </si>
  <si>
    <t>sidePointX</t>
    <phoneticPr fontId="1" type="noConversion"/>
  </si>
  <si>
    <t>sidePointY</t>
    <phoneticPr fontId="1" type="noConversion"/>
  </si>
  <si>
    <t>XR</t>
    <phoneticPr fontId="1" type="noConversion"/>
  </si>
  <si>
    <t>YR</t>
    <phoneticPr fontId="1" type="noConversion"/>
  </si>
  <si>
    <t>Vertex point weight</t>
    <phoneticPr fontId="1" type="noConversion"/>
  </si>
  <si>
    <t>XY'</t>
    <phoneticPr fontId="1" type="noConversion"/>
  </si>
  <si>
    <t>X'Y</t>
    <phoneticPr fontId="1" type="noConversion"/>
  </si>
  <si>
    <t>DL1</t>
    <phoneticPr fontId="1" type="noConversion"/>
  </si>
  <si>
    <t>DL2</t>
    <phoneticPr fontId="1" type="noConversion"/>
  </si>
  <si>
    <t>DL3</t>
    <phoneticPr fontId="1" type="noConversion"/>
  </si>
  <si>
    <t>P by vertex</t>
    <phoneticPr fontId="1" type="noConversion"/>
  </si>
  <si>
    <t>P by count</t>
    <phoneticPr fontId="1" type="noConversion"/>
  </si>
  <si>
    <t>P by LV</t>
    <phoneticPr fontId="1" type="noConversion"/>
  </si>
  <si>
    <t>PB_F</t>
    <phoneticPr fontId="1" type="noConversion"/>
  </si>
  <si>
    <t>sub_count</t>
    <phoneticPr fontId="1" type="noConversion"/>
  </si>
  <si>
    <t>THR_F</t>
    <phoneticPr fontId="1" type="noConversion"/>
  </si>
  <si>
    <t>THR_CWF</t>
    <phoneticPr fontId="1" type="noConversion"/>
  </si>
  <si>
    <t>THR_D</t>
    <phoneticPr fontId="1" type="noConversion"/>
  </si>
  <si>
    <t>THR_DF</t>
    <phoneticPr fontId="1" type="noConversion"/>
  </si>
  <si>
    <t>HIT_T</t>
    <phoneticPr fontId="1" type="noConversion"/>
  </si>
  <si>
    <t>HIT_WF</t>
    <phoneticPr fontId="1" type="noConversion"/>
  </si>
  <si>
    <t>HIT_F</t>
    <phoneticPr fontId="1" type="noConversion"/>
  </si>
  <si>
    <t>HIT_CWF</t>
    <phoneticPr fontId="1" type="noConversion"/>
  </si>
  <si>
    <t>HIT_D</t>
    <phoneticPr fontId="1" type="noConversion"/>
  </si>
  <si>
    <t>HIT_S</t>
    <phoneticPr fontId="1" type="noConversion"/>
  </si>
  <si>
    <t>HIT_DF</t>
    <phoneticPr fontId="1" type="noConversion"/>
  </si>
  <si>
    <t>EQV_DLPROB_by_NR_T</t>
    <phoneticPr fontId="1" type="noConversion"/>
  </si>
  <si>
    <t>EQV_DLPROB_by_NR_WF</t>
    <phoneticPr fontId="1" type="noConversion"/>
  </si>
  <si>
    <t>EQV_DLPROB_by_NR_F</t>
    <phoneticPr fontId="1" type="noConversion"/>
  </si>
  <si>
    <t>EQV_DLPROB_by_NR_CWF</t>
    <phoneticPr fontId="1" type="noConversion"/>
  </si>
  <si>
    <t>EQV_DLPROB_by_NR_D</t>
    <phoneticPr fontId="1" type="noConversion"/>
  </si>
  <si>
    <t>EQV_DLPROB_by_NR_S</t>
    <phoneticPr fontId="1" type="noConversion"/>
  </si>
  <si>
    <t>EQV_DLPROB_by_NR_DF</t>
    <phoneticPr fontId="1" type="noConversion"/>
  </si>
  <si>
    <t>Noise reduction, if PB_NUM &lt; THR, hit=1, else, hit=0</t>
    <phoneticPr fontId="1" type="noConversion"/>
  </si>
  <si>
    <t>Formula = PB_NUM-(exclude_num*WEIGHT/32)</t>
    <phoneticPr fontId="1" type="noConversion"/>
  </si>
  <si>
    <t>proj_W</t>
    <phoneticPr fontId="1" type="noConversion"/>
  </si>
  <si>
    <t>P2 related EXIF</t>
    <phoneticPr fontId="1" type="noConversion"/>
  </si>
  <si>
    <t>GM</t>
    <phoneticPr fontId="1" type="noConversion"/>
  </si>
  <si>
    <t>IS_ABOVE_DL_T</t>
    <phoneticPr fontId="1" type="noConversion"/>
  </si>
  <si>
    <t>IS_ABOVE_DL_WF</t>
    <phoneticPr fontId="1" type="noConversion"/>
  </si>
  <si>
    <t>IS_ABOVE_DL_S</t>
    <phoneticPr fontId="1" type="noConversion"/>
  </si>
  <si>
    <t>GM_OFFSET_T</t>
    <phoneticPr fontId="1" type="noConversion"/>
  </si>
  <si>
    <t>Weight</t>
    <phoneticPr fontId="1" type="noConversion"/>
  </si>
  <si>
    <t>GM_OFFSET_WF</t>
    <phoneticPr fontId="1" type="noConversion"/>
  </si>
  <si>
    <t>GM_OFFSET_S</t>
    <phoneticPr fontId="1" type="noConversion"/>
  </si>
  <si>
    <t>COUNT</t>
    <phoneticPr fontId="1" type="noConversion"/>
  </si>
  <si>
    <t>Grange</t>
    <phoneticPr fontId="1" type="noConversion"/>
  </si>
  <si>
    <t>Lvrange</t>
    <phoneticPr fontId="1" type="noConversion"/>
  </si>
  <si>
    <t>i4LvThr</t>
    <phoneticPr fontId="1" type="noConversion"/>
  </si>
  <si>
    <t>i4P0Thr1</t>
    <phoneticPr fontId="1" type="noConversion"/>
  </si>
  <si>
    <t>i4P0Thr2</t>
    <phoneticPr fontId="1" type="noConversion"/>
  </si>
  <si>
    <t>P2_T</t>
    <phoneticPr fontId="1" type="noConversion"/>
  </si>
  <si>
    <t>P2'_T</t>
    <phoneticPr fontId="1" type="noConversion"/>
  </si>
  <si>
    <t>P2''_T</t>
    <phoneticPr fontId="1" type="noConversion"/>
  </si>
  <si>
    <t>P2'''_T</t>
    <phoneticPr fontId="1" type="noConversion"/>
  </si>
  <si>
    <t>set 0</t>
    <phoneticPr fontId="1" type="noConversion"/>
  </si>
  <si>
    <t>set 1</t>
    <phoneticPr fontId="1" type="noConversion"/>
  </si>
  <si>
    <t>set 2</t>
    <phoneticPr fontId="1" type="noConversion"/>
  </si>
  <si>
    <t>set 3</t>
    <phoneticPr fontId="1" type="noConversion"/>
  </si>
  <si>
    <t>set 4</t>
    <phoneticPr fontId="1" type="noConversion"/>
  </si>
  <si>
    <t>set 5</t>
    <phoneticPr fontId="1" type="noConversion"/>
  </si>
  <si>
    <t>set 6</t>
    <phoneticPr fontId="1" type="noConversion"/>
  </si>
  <si>
    <t>WEIGHT'</t>
    <phoneticPr fontId="1" type="noConversion"/>
  </si>
  <si>
    <t>lightSource</t>
    <phoneticPr fontId="1" type="noConversion"/>
  </si>
  <si>
    <t>CONF</t>
    <phoneticPr fontId="1" type="noConversion"/>
  </si>
  <si>
    <t>CONFTHR</t>
    <phoneticPr fontId="1" type="noConversion"/>
  </si>
  <si>
    <t>DLmode</t>
    <phoneticPr fontId="1" type="noConversion"/>
  </si>
  <si>
    <t>P2Mode</t>
    <phoneticPr fontId="1" type="noConversion"/>
  </si>
  <si>
    <t>gianMode</t>
    <phoneticPr fontId="1" type="noConversion"/>
  </si>
  <si>
    <t>Mode</t>
    <phoneticPr fontId="1" type="noConversion"/>
  </si>
  <si>
    <t>set 6</t>
  </si>
  <si>
    <t>set 5</t>
  </si>
  <si>
    <t>set 4</t>
  </si>
  <si>
    <t>set 3</t>
  </si>
  <si>
    <t>set 2</t>
  </si>
  <si>
    <t>set 1</t>
  </si>
  <si>
    <t>set 0</t>
  </si>
  <si>
    <t>ExtraGain</t>
    <phoneticPr fontId="1" type="noConversion"/>
  </si>
  <si>
    <t>G</t>
    <phoneticPr fontId="1" type="noConversion"/>
  </si>
  <si>
    <t>Right</t>
    <phoneticPr fontId="1" type="noConversion"/>
  </si>
  <si>
    <t>Left</t>
    <phoneticPr fontId="1" type="noConversion"/>
  </si>
  <si>
    <t>Upper</t>
    <phoneticPr fontId="1" type="noConversion"/>
  </si>
  <si>
    <t>Lower</t>
    <phoneticPr fontId="1" type="noConversion"/>
  </si>
  <si>
    <t>Count_L</t>
    <phoneticPr fontId="1" type="noConversion"/>
  </si>
  <si>
    <t>Count_H</t>
    <phoneticPr fontId="1" type="noConversion"/>
  </si>
  <si>
    <t>W_L</t>
    <phoneticPr fontId="1" type="noConversion"/>
  </si>
  <si>
    <t>W_H</t>
    <phoneticPr fontId="1" type="noConversion"/>
  </si>
  <si>
    <t>GainIn_R</t>
    <phoneticPr fontId="1" type="noConversion"/>
  </si>
  <si>
    <t>GainIn_B</t>
    <phoneticPr fontId="1" type="noConversion"/>
  </si>
  <si>
    <t>GainOut_R</t>
    <phoneticPr fontId="1" type="noConversion"/>
  </si>
  <si>
    <t>GainOut_B</t>
    <phoneticPr fontId="1" type="noConversion"/>
  </si>
  <si>
    <t>W1</t>
    <phoneticPr fontId="1" type="noConversion"/>
  </si>
  <si>
    <t>W by count</t>
    <phoneticPr fontId="1" type="noConversion"/>
  </si>
  <si>
    <t>W2</t>
    <phoneticPr fontId="1" type="noConversion"/>
  </si>
  <si>
    <t>W by conf</t>
    <phoneticPr fontId="1" type="noConversion"/>
  </si>
  <si>
    <t>Enable</t>
    <phoneticPr fontId="1" type="noConversion"/>
  </si>
  <si>
    <t>Weight by LV</t>
    <phoneticPr fontId="1" type="noConversion"/>
  </si>
  <si>
    <t>Code</t>
    <phoneticPr fontId="1" type="noConversion"/>
  </si>
  <si>
    <t>Output</t>
    <phoneticPr fontId="1" type="noConversion"/>
  </si>
  <si>
    <t>crtl + o: zero
crtl + p: image resize</t>
    <phoneticPr fontId="1" type="noConversion"/>
  </si>
  <si>
    <t>Exclude color set, 1. Insert number into L20:L26 to make M20 equaling N20, 2. weight' can only simulate by Lvrange, because GAVG value is not describe in EXIF</t>
    <phoneticPr fontId="1" type="noConversion"/>
  </si>
  <si>
    <t>Statistic mix spatial, 1. EQVgain=((STAgain*DaylightLocusProb)+(SPATgain*(100-DaylightLocusProb)))/100</t>
    <phoneticPr fontId="1" type="noConversion"/>
  </si>
  <si>
    <t>Extra color, 1. mode2&amp;3 do not recommend to use: {256, 0, 0}, 2. i4GainCompWeight does not exist in EXIF, advise setting 0</t>
    <phoneticPr fontId="1" type="noConversion"/>
  </si>
  <si>
    <t>PREF_R</t>
    <phoneticPr fontId="1" type="noConversion"/>
  </si>
  <si>
    <t>PREF_B</t>
    <phoneticPr fontId="1" type="noConversion"/>
  </si>
  <si>
    <t>Pref. color offset</t>
    <phoneticPr fontId="1" type="noConversion"/>
  </si>
  <si>
    <t>SPAT
LV_THR</t>
    <phoneticPr fontId="1" type="noConversion"/>
  </si>
  <si>
    <t>Non_L</t>
    <phoneticPr fontId="1" type="noConversion"/>
  </si>
  <si>
    <t>Non_H</t>
    <phoneticPr fontId="1" type="noConversion"/>
  </si>
  <si>
    <t>set 7</t>
    <phoneticPr fontId="1" type="noConversion"/>
  </si>
  <si>
    <t>set 7</t>
    <phoneticPr fontId="1" type="noConversion"/>
  </si>
  <si>
    <t>AWB_TAG_RELIABLE_MODE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</si>
</sst>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2" tint="-9.9978637043366805E-2"/>
      <name val="新細明體"/>
      <family val="2"/>
      <charset val="136"/>
      <scheme val="minor"/>
    </font>
    <font>
      <sz val="22"/>
      <color theme="1"/>
      <name val="Calibri"/>
      <family val="2"/>
    </font>
    <font>
      <sz val="12"/>
      <name val="新細明體"/>
      <family val="2"/>
      <charset val="136"/>
      <scheme val="minor"/>
    </font>
    <font>
      <sz val="18"/>
      <color theme="1"/>
      <name val="Calibri"/>
      <family val="2"/>
    </font>
    <font>
      <b/>
      <sz val="11.5"/>
      <color theme="1"/>
      <name val="Calibri"/>
      <family val="2"/>
    </font>
    <font>
      <sz val="10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sz val="10"/>
      <color theme="2" tint="-9.9978637043366805E-2"/>
      <name val="新細明體"/>
      <family val="1"/>
      <charset val="136"/>
      <scheme val="minor"/>
    </font>
    <font>
      <sz val="12"/>
      <color theme="2" tint="-9.9978637043366805E-2"/>
      <name val="新細明體"/>
      <family val="1"/>
      <charset val="136"/>
      <scheme val="minor"/>
    </font>
    <font>
      <sz val="11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9"/>
      <color theme="1"/>
      <name val="新細明體"/>
      <family val="1"/>
      <charset val="136"/>
      <scheme val="minor"/>
    </font>
    <font>
      <sz val="10"/>
      <color theme="1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6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0" xfId="0" applyNumberFormat="1">
      <alignment vertical="center"/>
    </xf>
    <xf numFmtId="1" fontId="0" fillId="2" borderId="9" xfId="0" applyNumberFormat="1" applyFill="1" applyBorder="1" applyAlignment="1">
      <alignment horizontal="center"/>
    </xf>
    <xf numFmtId="1" fontId="0" fillId="3" borderId="1" xfId="0" applyNumberFormat="1" applyFill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vertical="center" wrapText="1"/>
    </xf>
    <xf numFmtId="1" fontId="0" fillId="0" borderId="0" xfId="0" applyNumberFormat="1" applyAlignment="1">
      <alignment horizontal="left" vertical="center" wrapText="1"/>
    </xf>
    <xf numFmtId="1" fontId="0" fillId="2" borderId="1" xfId="0" applyNumberFormat="1" applyFill="1" applyBorder="1" applyAlignment="1">
      <alignment horizontal="center" vertical="center"/>
    </xf>
    <xf numFmtId="1" fontId="12" fillId="0" borderId="1" xfId="0" applyNumberFormat="1" applyFont="1" applyBorder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1" fontId="8" fillId="0" borderId="0" xfId="0" applyNumberFormat="1" applyFont="1" applyAlignment="1"/>
    <xf numFmtId="1" fontId="7" fillId="0" borderId="0" xfId="0" applyNumberFormat="1" applyFont="1" applyAlignment="1">
      <alignment horizontal="center" vertical="center"/>
    </xf>
    <xf numFmtId="1" fontId="7" fillId="0" borderId="0" xfId="0" applyNumberFormat="1" applyFont="1">
      <alignment vertical="center"/>
    </xf>
    <xf numFmtId="1" fontId="8" fillId="0" borderId="1" xfId="0" applyNumberFormat="1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1" fontId="0" fillId="0" borderId="13" xfId="0" applyNumberFormat="1" applyBorder="1">
      <alignment vertical="center"/>
    </xf>
    <xf numFmtId="1" fontId="0" fillId="0" borderId="1" xfId="0" applyNumberFormat="1" applyBorder="1">
      <alignment vertical="center"/>
    </xf>
    <xf numFmtId="1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 wrapText="1"/>
    </xf>
    <xf numFmtId="1" fontId="13" fillId="0" borderId="13" xfId="0" applyNumberFormat="1" applyFont="1" applyBorder="1" applyAlignment="1">
      <alignment horizontal="center" vertical="center"/>
    </xf>
    <xf numFmtId="1" fontId="13" fillId="2" borderId="14" xfId="0" applyNumberFormat="1" applyFont="1" applyFill="1" applyBorder="1" applyAlignment="1">
      <alignment horizontal="center" vertical="center"/>
    </xf>
    <xf numFmtId="1" fontId="13" fillId="0" borderId="1" xfId="0" applyNumberFormat="1" applyFont="1" applyBorder="1" applyAlignment="1">
      <alignment horizontal="center" vertical="center"/>
    </xf>
    <xf numFmtId="1" fontId="13" fillId="2" borderId="1" xfId="0" applyNumberFormat="1" applyFont="1" applyFill="1" applyBorder="1" applyAlignment="1">
      <alignment horizontal="center" vertical="center"/>
    </xf>
    <xf numFmtId="1" fontId="13" fillId="3" borderId="1" xfId="0" applyNumberFormat="1" applyFont="1" applyFill="1" applyBorder="1" applyAlignment="1">
      <alignment horizontal="center" vertical="center"/>
    </xf>
    <xf numFmtId="1" fontId="13" fillId="0" borderId="0" xfId="0" applyNumberFormat="1" applyFont="1">
      <alignment vertical="center"/>
    </xf>
    <xf numFmtId="0" fontId="0" fillId="3" borderId="1" xfId="0" applyFill="1" applyBorder="1" applyAlignment="1">
      <alignment horizontal="center" vertical="center"/>
    </xf>
    <xf numFmtId="1" fontId="15" fillId="0" borderId="1" xfId="0" applyNumberFormat="1" applyFont="1" applyBorder="1" applyAlignment="1">
      <alignment horizontal="center" vertical="center"/>
    </xf>
    <xf numFmtId="1" fontId="9" fillId="0" borderId="1" xfId="0" applyNumberFormat="1" applyFont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" fontId="8" fillId="0" borderId="13" xfId="0" applyNumberFormat="1" applyFont="1" applyBorder="1" applyAlignment="1">
      <alignment horizontal="center" vertical="center"/>
    </xf>
    <xf numFmtId="1" fontId="8" fillId="0" borderId="3" xfId="0" applyNumberFormat="1" applyFont="1" applyBorder="1" applyAlignment="1">
      <alignment horizontal="center"/>
    </xf>
    <xf numFmtId="1" fontId="9" fillId="0" borderId="13" xfId="0" applyNumberFormat="1" applyFont="1" applyBorder="1" applyAlignment="1">
      <alignment horizontal="center"/>
    </xf>
    <xf numFmtId="1" fontId="0" fillId="0" borderId="14" xfId="0" applyNumberFormat="1" applyBorder="1" applyAlignment="1">
      <alignment horizontal="center" vertical="center"/>
    </xf>
    <xf numFmtId="1" fontId="0" fillId="3" borderId="14" xfId="0" applyNumberFormat="1" applyFill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/>
    </xf>
    <xf numFmtId="1" fontId="0" fillId="2" borderId="7" xfId="0" applyNumberFormat="1" applyFill="1" applyBorder="1" applyAlignment="1">
      <alignment horizontal="center" vertical="center"/>
    </xf>
    <xf numFmtId="0" fontId="0" fillId="0" borderId="1" xfId="0" applyBorder="1">
      <alignment vertical="center"/>
    </xf>
    <xf numFmtId="1" fontId="0" fillId="0" borderId="7" xfId="0" applyNumberFormat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12" fillId="2" borderId="1" xfId="0" applyNumberFormat="1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" fontId="2" fillId="0" borderId="7" xfId="0" applyNumberFormat="1" applyFont="1" applyBorder="1" applyAlignment="1">
      <alignment horizontal="center" vertical="center"/>
    </xf>
    <xf numFmtId="1" fontId="2" fillId="0" borderId="9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" fontId="4" fillId="0" borderId="0" xfId="0" applyNumberFormat="1" applyFont="1">
      <alignment vertical="center"/>
    </xf>
    <xf numFmtId="1" fontId="8" fillId="0" borderId="0" xfId="0" applyNumberFormat="1" applyFont="1">
      <alignment vertical="center"/>
    </xf>
    <xf numFmtId="1" fontId="9" fillId="0" borderId="0" xfId="0" applyNumberFormat="1" applyFont="1">
      <alignment vertical="center"/>
    </xf>
    <xf numFmtId="1" fontId="4" fillId="0" borderId="1" xfId="0" applyNumberFormat="1" applyFont="1" applyBorder="1">
      <alignment vertical="center"/>
    </xf>
    <xf numFmtId="1" fontId="4" fillId="0" borderId="7" xfId="0" applyNumberFormat="1" applyFont="1" applyBorder="1">
      <alignment vertical="center"/>
    </xf>
    <xf numFmtId="1" fontId="4" fillId="0" borderId="9" xfId="0" applyNumberFormat="1" applyFont="1" applyBorder="1">
      <alignment vertical="center"/>
    </xf>
    <xf numFmtId="1" fontId="8" fillId="4" borderId="1" xfId="0" applyNumberFormat="1" applyFont="1" applyFill="1" applyBorder="1" applyAlignment="1">
      <alignment horizontal="center"/>
    </xf>
    <xf numFmtId="1" fontId="0" fillId="4" borderId="1" xfId="0" applyNumberFormat="1" applyFill="1" applyBorder="1" applyAlignment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2" borderId="13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12" xfId="0" applyBorder="1" applyAlignment="1">
      <alignment horizontal="center"/>
    </xf>
    <xf numFmtId="1" fontId="9" fillId="0" borderId="1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1" fontId="8" fillId="0" borderId="8" xfId="0" applyNumberFormat="1" applyFont="1" applyBorder="1" applyAlignment="1"/>
    <xf numFmtId="1" fontId="8" fillId="0" borderId="9" xfId="0" applyNumberFormat="1" applyFont="1" applyBorder="1" applyAlignment="1"/>
    <xf numFmtId="1" fontId="8" fillId="0" borderId="1" xfId="0" applyNumberFormat="1" applyFont="1" applyBorder="1" applyAlignment="1"/>
    <xf numFmtId="1" fontId="0" fillId="0" borderId="1" xfId="0" applyNumberFormat="1" applyBorder="1" applyAlignment="1">
      <alignment horizontal="center" vertical="center"/>
    </xf>
    <xf numFmtId="1" fontId="12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" fontId="8" fillId="0" borderId="7" xfId="0" applyNumberFormat="1" applyFont="1" applyBorder="1" applyAlignment="1">
      <alignment horizontal="center" vertic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2" borderId="5" xfId="0" applyNumberFormat="1" applyFill="1" applyBorder="1" applyAlignment="1">
      <alignment horizontal="center" vertical="center"/>
    </xf>
    <xf numFmtId="1" fontId="0" fillId="2" borderId="2" xfId="0" applyNumberFormat="1" applyFill="1" applyBorder="1" applyAlignment="1">
      <alignment horizontal="center" vertical="center"/>
    </xf>
    <xf numFmtId="1" fontId="0" fillId="2" borderId="10" xfId="0" applyNumberFormat="1" applyFill="1" applyBorder="1" applyAlignment="1">
      <alignment horizontal="center" vertical="center"/>
    </xf>
    <xf numFmtId="1" fontId="0" fillId="2" borderId="6" xfId="0" applyNumberFormat="1" applyFill="1" applyBorder="1" applyAlignment="1">
      <alignment horizontal="center" vertical="center"/>
    </xf>
    <xf numFmtId="1" fontId="0" fillId="2" borderId="3" xfId="0" applyNumberFormat="1" applyFill="1" applyBorder="1" applyAlignment="1">
      <alignment horizontal="center" vertical="center"/>
    </xf>
    <xf numFmtId="1" fontId="0" fillId="2" borderId="12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1" fontId="0" fillId="2" borderId="7" xfId="0" applyNumberFormat="1" applyFill="1" applyBorder="1" applyAlignment="1">
      <alignment horizontal="center" vertical="center"/>
    </xf>
    <xf numFmtId="1" fontId="8" fillId="2" borderId="1" xfId="0" applyNumberFormat="1" applyFont="1" applyFill="1" applyBorder="1" applyAlignment="1">
      <alignment horizontal="center" vertical="center"/>
    </xf>
    <xf numFmtId="1" fontId="8" fillId="0" borderId="8" xfId="0" applyNumberFormat="1" applyFont="1" applyBorder="1" applyAlignment="1">
      <alignment horizontal="center"/>
    </xf>
    <xf numFmtId="1" fontId="8" fillId="0" borderId="9" xfId="0" applyNumberFormat="1" applyFont="1" applyBorder="1" applyAlignment="1">
      <alignment horizontal="center"/>
    </xf>
    <xf numFmtId="1" fontId="10" fillId="0" borderId="3" xfId="0" applyNumberFormat="1" applyFon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8" fillId="0" borderId="1" xfId="0" applyNumberFormat="1" applyFont="1" applyBorder="1">
      <alignment vertical="center"/>
    </xf>
    <xf numFmtId="1" fontId="7" fillId="0" borderId="1" xfId="0" applyNumberFormat="1" applyFont="1" applyBorder="1" applyAlignment="1">
      <alignment horizontal="center" vertical="center"/>
    </xf>
    <xf numFmtId="1" fontId="7" fillId="0" borderId="8" xfId="0" applyNumberFormat="1" applyFont="1" applyBorder="1" applyAlignment="1"/>
    <xf numFmtId="1" fontId="7" fillId="0" borderId="9" xfId="0" applyNumberFormat="1" applyFont="1" applyBorder="1" applyAlignment="1"/>
    <xf numFmtId="1" fontId="7" fillId="0" borderId="8" xfId="0" applyNumberFormat="1" applyFont="1" applyBorder="1" applyAlignment="1">
      <alignment horizontal="center"/>
    </xf>
    <xf numFmtId="1" fontId="7" fillId="0" borderId="9" xfId="0" applyNumberFormat="1" applyFont="1" applyBorder="1" applyAlignment="1">
      <alignment horizontal="center"/>
    </xf>
    <xf numFmtId="1" fontId="12" fillId="2" borderId="1" xfId="0" applyNumberFormat="1" applyFont="1" applyFill="1" applyBorder="1" applyAlignment="1">
      <alignment horizontal="center" vertical="center"/>
    </xf>
    <xf numFmtId="1" fontId="9" fillId="0" borderId="8" xfId="0" applyNumberFormat="1" applyFont="1" applyBorder="1" applyAlignment="1">
      <alignment horizontal="center"/>
    </xf>
    <xf numFmtId="1" fontId="9" fillId="0" borderId="9" xfId="0" applyNumberFormat="1" applyFont="1" applyBorder="1" applyAlignment="1">
      <alignment horizontal="center"/>
    </xf>
    <xf numFmtId="1" fontId="5" fillId="2" borderId="5" xfId="0" applyNumberFormat="1" applyFont="1" applyFill="1" applyBorder="1" applyAlignment="1">
      <alignment horizontal="center" vertical="center"/>
    </xf>
    <xf numFmtId="1" fontId="0" fillId="0" borderId="2" xfId="0" applyNumberFormat="1" applyBorder="1">
      <alignment vertical="center"/>
    </xf>
    <xf numFmtId="1" fontId="0" fillId="0" borderId="10" xfId="0" applyNumberFormat="1" applyBorder="1">
      <alignment vertical="center"/>
    </xf>
    <xf numFmtId="1" fontId="0" fillId="0" borderId="4" xfId="0" applyNumberFormat="1" applyBorder="1">
      <alignment vertical="center"/>
    </xf>
    <xf numFmtId="1" fontId="0" fillId="0" borderId="0" xfId="0" applyNumberFormat="1">
      <alignment vertical="center"/>
    </xf>
    <xf numFmtId="1" fontId="0" fillId="0" borderId="11" xfId="0" applyNumberFormat="1" applyBorder="1">
      <alignment vertical="center"/>
    </xf>
    <xf numFmtId="1" fontId="0" fillId="0" borderId="6" xfId="0" applyNumberFormat="1" applyBorder="1">
      <alignment vertical="center"/>
    </xf>
    <xf numFmtId="1" fontId="0" fillId="0" borderId="3" xfId="0" applyNumberFormat="1" applyBorder="1">
      <alignment vertical="center"/>
    </xf>
    <xf numFmtId="1" fontId="0" fillId="0" borderId="12" xfId="0" applyNumberFormat="1" applyBorder="1">
      <alignment vertical="center"/>
    </xf>
    <xf numFmtId="1" fontId="0" fillId="0" borderId="1" xfId="0" applyNumberFormat="1" applyBorder="1">
      <alignment vertical="center"/>
    </xf>
    <xf numFmtId="1" fontId="7" fillId="0" borderId="7" xfId="0" applyNumberFormat="1" applyFont="1" applyBorder="1" applyAlignment="1">
      <alignment horizontal="center" vertical="center"/>
    </xf>
    <xf numFmtId="1" fontId="0" fillId="0" borderId="8" xfId="0" applyNumberFormat="1" applyBorder="1">
      <alignment vertical="center"/>
    </xf>
    <xf numFmtId="1" fontId="0" fillId="0" borderId="9" xfId="0" applyNumberFormat="1" applyBorder="1">
      <alignment vertical="center"/>
    </xf>
    <xf numFmtId="1" fontId="7" fillId="0" borderId="8" xfId="0" applyNumberFormat="1" applyFont="1" applyBorder="1">
      <alignment vertical="center"/>
    </xf>
    <xf numFmtId="1" fontId="0" fillId="2" borderId="14" xfId="0" applyNumberFormat="1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0" borderId="1" xfId="0" applyBorder="1">
      <alignment vertical="center"/>
    </xf>
    <xf numFmtId="1" fontId="9" fillId="0" borderId="1" xfId="0" applyNumberFormat="1" applyFont="1" applyBorder="1">
      <alignment vertical="center"/>
    </xf>
    <xf numFmtId="1" fontId="14" fillId="0" borderId="7" xfId="0" applyNumberFormat="1" applyFont="1" applyBorder="1" applyAlignment="1">
      <alignment horizontal="center" vertical="center"/>
    </xf>
    <xf numFmtId="1" fontId="14" fillId="0" borderId="8" xfId="0" applyNumberFormat="1" applyFont="1" applyBorder="1" applyAlignment="1">
      <alignment horizontal="center" vertical="center"/>
    </xf>
    <xf numFmtId="1" fontId="0" fillId="0" borderId="1" xfId="0" applyNumberFormat="1" applyBorder="1" applyAlignment="1">
      <alignment horizontal="left" vertical="center" wrapText="1"/>
    </xf>
    <xf numFmtId="1" fontId="12" fillId="0" borderId="7" xfId="0" applyNumberFormat="1" applyFont="1" applyBorder="1" applyAlignment="1">
      <alignment horizontal="center" vertical="center"/>
    </xf>
    <xf numFmtId="1" fontId="0" fillId="3" borderId="7" xfId="0" applyNumberFormat="1" applyFill="1" applyBorder="1" applyAlignment="1">
      <alignment horizontal="center" vertical="center"/>
    </xf>
    <xf numFmtId="1" fontId="0" fillId="2" borderId="9" xfId="0" applyNumberFormat="1" applyFill="1" applyBorder="1" applyAlignment="1">
      <alignment horizontal="center" vertical="center"/>
    </xf>
    <xf numFmtId="1" fontId="6" fillId="2" borderId="0" xfId="0" applyNumberFormat="1" applyFont="1" applyFill="1" applyAlignment="1">
      <alignment horizontal="left" vertical="center" wrapText="1"/>
    </xf>
    <xf numFmtId="1" fontId="0" fillId="0" borderId="0" xfId="0" applyNumberFormat="1" applyAlignment="1">
      <alignment vertical="center" wrapText="1"/>
    </xf>
    <xf numFmtId="1" fontId="7" fillId="0" borderId="0" xfId="0" applyNumberFormat="1" applyFont="1" applyAlignment="1">
      <alignment horizontal="left" vertical="center" wrapText="1"/>
    </xf>
    <xf numFmtId="1" fontId="0" fillId="0" borderId="0" xfId="0" applyNumberFormat="1" applyAlignment="1">
      <alignment horizontal="left" vertical="center" wrapText="1"/>
    </xf>
    <xf numFmtId="1" fontId="0" fillId="0" borderId="5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1" fontId="0" fillId="2" borderId="14" xfId="0" applyNumberFormat="1" applyFill="1" applyBorder="1" applyAlignment="1">
      <alignment horizontal="center" vertical="center" wrapText="1"/>
    </xf>
    <xf numFmtId="1" fontId="0" fillId="2" borderId="15" xfId="0" applyNumberFormat="1" applyFill="1" applyBorder="1" applyAlignment="1">
      <alignment horizontal="center" vertical="center" wrapText="1"/>
    </xf>
    <xf numFmtId="1" fontId="0" fillId="2" borderId="13" xfId="0" applyNumberFormat="1" applyFill="1" applyBorder="1" applyAlignment="1">
      <alignment horizontal="center" vertical="center" wrapText="1"/>
    </xf>
    <xf numFmtId="1" fontId="9" fillId="0" borderId="7" xfId="0" applyNumberFormat="1" applyFont="1" applyBorder="1" applyAlignment="1">
      <alignment horizontal="center" vertical="center"/>
    </xf>
    <xf numFmtId="1" fontId="7" fillId="0" borderId="1" xfId="0" applyNumberFormat="1" applyFont="1" applyBorder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P1curve!$N$6</c:f>
              <c:strCache>
                <c:ptCount val="1"/>
                <c:pt idx="0">
                  <c:v>default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P1curve!$O$5:$U$5</c:f>
              <c:numCache>
                <c:formatCode>General</c:formatCode>
                <c:ptCount val="7"/>
                <c:pt idx="0">
                  <c:v>2300</c:v>
                </c:pt>
                <c:pt idx="1">
                  <c:v>2857</c:v>
                </c:pt>
                <c:pt idx="2">
                  <c:v>4000</c:v>
                </c:pt>
                <c:pt idx="3">
                  <c:v>4100</c:v>
                </c:pt>
                <c:pt idx="4">
                  <c:v>6000</c:v>
                </c:pt>
                <c:pt idx="5">
                  <c:v>6500</c:v>
                </c:pt>
                <c:pt idx="6">
                  <c:v>7500</c:v>
                </c:pt>
              </c:numCache>
            </c:numRef>
          </c:cat>
          <c:val>
            <c:numRef>
              <c:f>P1curve!$O$6:$U$6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40-4DEA-93CA-A585FD11D3F5}"/>
            </c:ext>
          </c:extLst>
        </c:ser>
        <c:ser>
          <c:idx val="1"/>
          <c:order val="1"/>
          <c:tx>
            <c:strRef>
              <c:f>P1curve!$N$7</c:f>
              <c:strCache>
                <c:ptCount val="1"/>
                <c:pt idx="0">
                  <c:v>modify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P1curve!$O$5:$U$5</c:f>
              <c:numCache>
                <c:formatCode>General</c:formatCode>
                <c:ptCount val="7"/>
                <c:pt idx="0">
                  <c:v>2300</c:v>
                </c:pt>
                <c:pt idx="1">
                  <c:v>2857</c:v>
                </c:pt>
                <c:pt idx="2">
                  <c:v>4000</c:v>
                </c:pt>
                <c:pt idx="3">
                  <c:v>4100</c:v>
                </c:pt>
                <c:pt idx="4">
                  <c:v>6000</c:v>
                </c:pt>
                <c:pt idx="5">
                  <c:v>6500</c:v>
                </c:pt>
                <c:pt idx="6">
                  <c:v>7500</c:v>
                </c:pt>
              </c:numCache>
            </c:numRef>
          </c:cat>
          <c:val>
            <c:numRef>
              <c:f>P1curve!$O$7:$U$7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40-4DEA-93CA-A585FD11D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0493247"/>
        <c:axId val="1970493663"/>
      </c:lineChart>
      <c:catAx>
        <c:axId val="1970493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70493663"/>
        <c:crosses val="autoZero"/>
        <c:auto val="1"/>
        <c:lblAlgn val="ctr"/>
        <c:lblOffset val="100"/>
        <c:noMultiLvlLbl val="0"/>
      </c:catAx>
      <c:valAx>
        <c:axId val="1970493663"/>
        <c:scaling>
          <c:orientation val="minMax"/>
          <c:max val="1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70493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-4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P1curve!$C$9:$I$9</c:f>
              <c:numCache>
                <c:formatCode>General</c:formatCode>
                <c:ptCount val="7"/>
                <c:pt idx="0">
                  <c:v>2300</c:v>
                </c:pt>
                <c:pt idx="1">
                  <c:v>2857</c:v>
                </c:pt>
                <c:pt idx="2">
                  <c:v>4000</c:v>
                </c:pt>
                <c:pt idx="3">
                  <c:v>4100</c:v>
                </c:pt>
                <c:pt idx="4">
                  <c:v>6000</c:v>
                </c:pt>
                <c:pt idx="5">
                  <c:v>6500</c:v>
                </c:pt>
                <c:pt idx="6">
                  <c:v>7500</c:v>
                </c:pt>
              </c:numCache>
            </c:numRef>
          </c:cat>
          <c:val>
            <c:numRef>
              <c:f>P1curve!$C$10:$I$10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091-46EE-AACC-CD814287D023}"/>
            </c:ext>
          </c:extLst>
        </c:ser>
        <c:ser>
          <c:idx val="1"/>
          <c:order val="1"/>
          <c:tx>
            <c:v>-3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P1curve!$C$9:$I$9</c:f>
              <c:numCache>
                <c:formatCode>General</c:formatCode>
                <c:ptCount val="7"/>
                <c:pt idx="0">
                  <c:v>2300</c:v>
                </c:pt>
                <c:pt idx="1">
                  <c:v>2857</c:v>
                </c:pt>
                <c:pt idx="2">
                  <c:v>4000</c:v>
                </c:pt>
                <c:pt idx="3">
                  <c:v>4100</c:v>
                </c:pt>
                <c:pt idx="4">
                  <c:v>6000</c:v>
                </c:pt>
                <c:pt idx="5">
                  <c:v>6500</c:v>
                </c:pt>
                <c:pt idx="6">
                  <c:v>7500</c:v>
                </c:pt>
              </c:numCache>
            </c:numRef>
          </c:cat>
          <c:val>
            <c:numRef>
              <c:f>P1curve!$C$11:$I$11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091-46EE-AACC-CD814287D023}"/>
            </c:ext>
          </c:extLst>
        </c:ser>
        <c:ser>
          <c:idx val="2"/>
          <c:order val="2"/>
          <c:tx>
            <c:v>-2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P1curve!$C$9:$I$9</c:f>
              <c:numCache>
                <c:formatCode>General</c:formatCode>
                <c:ptCount val="7"/>
                <c:pt idx="0">
                  <c:v>2300</c:v>
                </c:pt>
                <c:pt idx="1">
                  <c:v>2857</c:v>
                </c:pt>
                <c:pt idx="2">
                  <c:v>4000</c:v>
                </c:pt>
                <c:pt idx="3">
                  <c:v>4100</c:v>
                </c:pt>
                <c:pt idx="4">
                  <c:v>6000</c:v>
                </c:pt>
                <c:pt idx="5">
                  <c:v>6500</c:v>
                </c:pt>
                <c:pt idx="6">
                  <c:v>7500</c:v>
                </c:pt>
              </c:numCache>
            </c:numRef>
          </c:cat>
          <c:val>
            <c:numRef>
              <c:f>P1curve!$C$12:$I$12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091-46EE-AACC-CD814287D023}"/>
            </c:ext>
          </c:extLst>
        </c:ser>
        <c:ser>
          <c:idx val="3"/>
          <c:order val="3"/>
          <c:tx>
            <c:v>-1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P1curve!$C$9:$I$9</c:f>
              <c:numCache>
                <c:formatCode>General</c:formatCode>
                <c:ptCount val="7"/>
                <c:pt idx="0">
                  <c:v>2300</c:v>
                </c:pt>
                <c:pt idx="1">
                  <c:v>2857</c:v>
                </c:pt>
                <c:pt idx="2">
                  <c:v>4000</c:v>
                </c:pt>
                <c:pt idx="3">
                  <c:v>4100</c:v>
                </c:pt>
                <c:pt idx="4">
                  <c:v>6000</c:v>
                </c:pt>
                <c:pt idx="5">
                  <c:v>6500</c:v>
                </c:pt>
                <c:pt idx="6">
                  <c:v>7500</c:v>
                </c:pt>
              </c:numCache>
            </c:numRef>
          </c:cat>
          <c:val>
            <c:numRef>
              <c:f>P1curve!$C$13:$I$13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091-46EE-AACC-CD814287D023}"/>
            </c:ext>
          </c:extLst>
        </c:ser>
        <c:ser>
          <c:idx val="4"/>
          <c:order val="4"/>
          <c:tx>
            <c:v>0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P1curve!$C$9:$I$9</c:f>
              <c:numCache>
                <c:formatCode>General</c:formatCode>
                <c:ptCount val="7"/>
                <c:pt idx="0">
                  <c:v>2300</c:v>
                </c:pt>
                <c:pt idx="1">
                  <c:v>2857</c:v>
                </c:pt>
                <c:pt idx="2">
                  <c:v>4000</c:v>
                </c:pt>
                <c:pt idx="3">
                  <c:v>4100</c:v>
                </c:pt>
                <c:pt idx="4">
                  <c:v>6000</c:v>
                </c:pt>
                <c:pt idx="5">
                  <c:v>6500</c:v>
                </c:pt>
                <c:pt idx="6">
                  <c:v>7500</c:v>
                </c:pt>
              </c:numCache>
            </c:numRef>
          </c:cat>
          <c:val>
            <c:numRef>
              <c:f>P1curve!$C$14:$I$14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091-46EE-AACC-CD814287D023}"/>
            </c:ext>
          </c:extLst>
        </c:ser>
        <c:ser>
          <c:idx val="5"/>
          <c:order val="5"/>
          <c:tx>
            <c:v>1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P1curve!$C$9:$I$9</c:f>
              <c:numCache>
                <c:formatCode>General</c:formatCode>
                <c:ptCount val="7"/>
                <c:pt idx="0">
                  <c:v>2300</c:v>
                </c:pt>
                <c:pt idx="1">
                  <c:v>2857</c:v>
                </c:pt>
                <c:pt idx="2">
                  <c:v>4000</c:v>
                </c:pt>
                <c:pt idx="3">
                  <c:v>4100</c:v>
                </c:pt>
                <c:pt idx="4">
                  <c:v>6000</c:v>
                </c:pt>
                <c:pt idx="5">
                  <c:v>6500</c:v>
                </c:pt>
                <c:pt idx="6">
                  <c:v>7500</c:v>
                </c:pt>
              </c:numCache>
            </c:numRef>
          </c:cat>
          <c:val>
            <c:numRef>
              <c:f>工作表1!#REF!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091-46EE-AACC-CD814287D023}"/>
            </c:ext>
          </c:extLst>
        </c:ser>
        <c:ser>
          <c:idx val="6"/>
          <c:order val="6"/>
          <c:tx>
            <c:v>2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P1curve!$C$9:$I$9</c:f>
              <c:numCache>
                <c:formatCode>General</c:formatCode>
                <c:ptCount val="7"/>
                <c:pt idx="0">
                  <c:v>2300</c:v>
                </c:pt>
                <c:pt idx="1">
                  <c:v>2857</c:v>
                </c:pt>
                <c:pt idx="2">
                  <c:v>4000</c:v>
                </c:pt>
                <c:pt idx="3">
                  <c:v>4100</c:v>
                </c:pt>
                <c:pt idx="4">
                  <c:v>6000</c:v>
                </c:pt>
                <c:pt idx="5">
                  <c:v>6500</c:v>
                </c:pt>
                <c:pt idx="6">
                  <c:v>7500</c:v>
                </c:pt>
              </c:numCache>
            </c:numRef>
          </c:cat>
          <c:val>
            <c:numRef>
              <c:f>P1curve!$C$15:$I$15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091-46EE-AACC-CD814287D023}"/>
            </c:ext>
          </c:extLst>
        </c:ser>
        <c:ser>
          <c:idx val="7"/>
          <c:order val="7"/>
          <c:tx>
            <c:v>3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P1curve!$C$9:$I$9</c:f>
              <c:numCache>
                <c:formatCode>General</c:formatCode>
                <c:ptCount val="7"/>
                <c:pt idx="0">
                  <c:v>2300</c:v>
                </c:pt>
                <c:pt idx="1">
                  <c:v>2857</c:v>
                </c:pt>
                <c:pt idx="2">
                  <c:v>4000</c:v>
                </c:pt>
                <c:pt idx="3">
                  <c:v>4100</c:v>
                </c:pt>
                <c:pt idx="4">
                  <c:v>6000</c:v>
                </c:pt>
                <c:pt idx="5">
                  <c:v>6500</c:v>
                </c:pt>
                <c:pt idx="6">
                  <c:v>7500</c:v>
                </c:pt>
              </c:numCache>
            </c:numRef>
          </c:cat>
          <c:val>
            <c:numRef>
              <c:f>P1curve!$C$17:$I$17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091-46EE-AACC-CD814287D023}"/>
            </c:ext>
          </c:extLst>
        </c:ser>
        <c:ser>
          <c:idx val="8"/>
          <c:order val="8"/>
          <c:tx>
            <c:v>4</c:v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P1curve!$C$9:$I$9</c:f>
              <c:numCache>
                <c:formatCode>General</c:formatCode>
                <c:ptCount val="7"/>
                <c:pt idx="0">
                  <c:v>2300</c:v>
                </c:pt>
                <c:pt idx="1">
                  <c:v>2857</c:v>
                </c:pt>
                <c:pt idx="2">
                  <c:v>4000</c:v>
                </c:pt>
                <c:pt idx="3">
                  <c:v>4100</c:v>
                </c:pt>
                <c:pt idx="4">
                  <c:v>6000</c:v>
                </c:pt>
                <c:pt idx="5">
                  <c:v>6500</c:v>
                </c:pt>
                <c:pt idx="6">
                  <c:v>7500</c:v>
                </c:pt>
              </c:numCache>
            </c:numRef>
          </c:cat>
          <c:val>
            <c:numRef>
              <c:f>P1curve!$C$18:$I$18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091-46EE-AACC-CD814287D023}"/>
            </c:ext>
          </c:extLst>
        </c:ser>
        <c:ser>
          <c:idx val="9"/>
          <c:order val="9"/>
          <c:tx>
            <c:v>5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P1curve!$C$9:$I$9</c:f>
              <c:numCache>
                <c:formatCode>General</c:formatCode>
                <c:ptCount val="7"/>
                <c:pt idx="0">
                  <c:v>2300</c:v>
                </c:pt>
                <c:pt idx="1">
                  <c:v>2857</c:v>
                </c:pt>
                <c:pt idx="2">
                  <c:v>4000</c:v>
                </c:pt>
                <c:pt idx="3">
                  <c:v>4100</c:v>
                </c:pt>
                <c:pt idx="4">
                  <c:v>6000</c:v>
                </c:pt>
                <c:pt idx="5">
                  <c:v>6500</c:v>
                </c:pt>
                <c:pt idx="6">
                  <c:v>7500</c:v>
                </c:pt>
              </c:numCache>
            </c:numRef>
          </c:cat>
          <c:val>
            <c:numRef>
              <c:f>P1curve!$C$19:$I$19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091-46EE-AACC-CD814287D023}"/>
            </c:ext>
          </c:extLst>
        </c:ser>
        <c:ser>
          <c:idx val="10"/>
          <c:order val="10"/>
          <c:tx>
            <c:v>6</c:v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P1curve!$C$9:$I$9</c:f>
              <c:numCache>
                <c:formatCode>General</c:formatCode>
                <c:ptCount val="7"/>
                <c:pt idx="0">
                  <c:v>2300</c:v>
                </c:pt>
                <c:pt idx="1">
                  <c:v>2857</c:v>
                </c:pt>
                <c:pt idx="2">
                  <c:v>4000</c:v>
                </c:pt>
                <c:pt idx="3">
                  <c:v>4100</c:v>
                </c:pt>
                <c:pt idx="4">
                  <c:v>6000</c:v>
                </c:pt>
                <c:pt idx="5">
                  <c:v>6500</c:v>
                </c:pt>
                <c:pt idx="6">
                  <c:v>7500</c:v>
                </c:pt>
              </c:numCache>
            </c:numRef>
          </c:cat>
          <c:val>
            <c:numRef>
              <c:f>P1curve!$C$20:$I$20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091-46EE-AACC-CD814287D023}"/>
            </c:ext>
          </c:extLst>
        </c:ser>
        <c:ser>
          <c:idx val="11"/>
          <c:order val="11"/>
          <c:tx>
            <c:v>7</c:v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numRef>
              <c:f>P1curve!$C$9:$I$9</c:f>
              <c:numCache>
                <c:formatCode>General</c:formatCode>
                <c:ptCount val="7"/>
                <c:pt idx="0">
                  <c:v>2300</c:v>
                </c:pt>
                <c:pt idx="1">
                  <c:v>2857</c:v>
                </c:pt>
                <c:pt idx="2">
                  <c:v>4000</c:v>
                </c:pt>
                <c:pt idx="3">
                  <c:v>4100</c:v>
                </c:pt>
                <c:pt idx="4">
                  <c:v>6000</c:v>
                </c:pt>
                <c:pt idx="5">
                  <c:v>6500</c:v>
                </c:pt>
                <c:pt idx="6">
                  <c:v>7500</c:v>
                </c:pt>
              </c:numCache>
            </c:numRef>
          </c:cat>
          <c:val>
            <c:numRef>
              <c:f>P1curve!$C$21:$I$21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091-46EE-AACC-CD814287D023}"/>
            </c:ext>
          </c:extLst>
        </c:ser>
        <c:ser>
          <c:idx val="12"/>
          <c:order val="12"/>
          <c:tx>
            <c:v>8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numRef>
              <c:f>P1curve!$C$9:$I$9</c:f>
              <c:numCache>
                <c:formatCode>General</c:formatCode>
                <c:ptCount val="7"/>
                <c:pt idx="0">
                  <c:v>2300</c:v>
                </c:pt>
                <c:pt idx="1">
                  <c:v>2857</c:v>
                </c:pt>
                <c:pt idx="2">
                  <c:v>4000</c:v>
                </c:pt>
                <c:pt idx="3">
                  <c:v>4100</c:v>
                </c:pt>
                <c:pt idx="4">
                  <c:v>6000</c:v>
                </c:pt>
                <c:pt idx="5">
                  <c:v>6500</c:v>
                </c:pt>
                <c:pt idx="6">
                  <c:v>7500</c:v>
                </c:pt>
              </c:numCache>
            </c:numRef>
          </c:cat>
          <c:val>
            <c:numRef>
              <c:f>P1curve!$C$22:$I$22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091-46EE-AACC-CD814287D023}"/>
            </c:ext>
          </c:extLst>
        </c:ser>
        <c:ser>
          <c:idx val="13"/>
          <c:order val="13"/>
          <c:tx>
            <c:v>9</c:v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numRef>
              <c:f>P1curve!$C$9:$I$9</c:f>
              <c:numCache>
                <c:formatCode>General</c:formatCode>
                <c:ptCount val="7"/>
                <c:pt idx="0">
                  <c:v>2300</c:v>
                </c:pt>
                <c:pt idx="1">
                  <c:v>2857</c:v>
                </c:pt>
                <c:pt idx="2">
                  <c:v>4000</c:v>
                </c:pt>
                <c:pt idx="3">
                  <c:v>4100</c:v>
                </c:pt>
                <c:pt idx="4">
                  <c:v>6000</c:v>
                </c:pt>
                <c:pt idx="5">
                  <c:v>6500</c:v>
                </c:pt>
                <c:pt idx="6">
                  <c:v>7500</c:v>
                </c:pt>
              </c:numCache>
            </c:numRef>
          </c:cat>
          <c:val>
            <c:numRef>
              <c:f>P1curve!$C$23:$I$23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091-46EE-AACC-CD814287D023}"/>
            </c:ext>
          </c:extLst>
        </c:ser>
        <c:ser>
          <c:idx val="14"/>
          <c:order val="14"/>
          <c:tx>
            <c:v>10</c:v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numRef>
              <c:f>P1curve!$C$9:$I$9</c:f>
              <c:numCache>
                <c:formatCode>General</c:formatCode>
                <c:ptCount val="7"/>
                <c:pt idx="0">
                  <c:v>2300</c:v>
                </c:pt>
                <c:pt idx="1">
                  <c:v>2857</c:v>
                </c:pt>
                <c:pt idx="2">
                  <c:v>4000</c:v>
                </c:pt>
                <c:pt idx="3">
                  <c:v>4100</c:v>
                </c:pt>
                <c:pt idx="4">
                  <c:v>6000</c:v>
                </c:pt>
                <c:pt idx="5">
                  <c:v>6500</c:v>
                </c:pt>
                <c:pt idx="6">
                  <c:v>7500</c:v>
                </c:pt>
              </c:numCache>
            </c:numRef>
          </c:cat>
          <c:val>
            <c:numRef>
              <c:f>P1curve!$C$24:$I$24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091-46EE-AACC-CD814287D023}"/>
            </c:ext>
          </c:extLst>
        </c:ser>
        <c:ser>
          <c:idx val="15"/>
          <c:order val="15"/>
          <c:tx>
            <c:v>11</c:v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numRef>
              <c:f>P1curve!$C$9:$I$9</c:f>
              <c:numCache>
                <c:formatCode>General</c:formatCode>
                <c:ptCount val="7"/>
                <c:pt idx="0">
                  <c:v>2300</c:v>
                </c:pt>
                <c:pt idx="1">
                  <c:v>2857</c:v>
                </c:pt>
                <c:pt idx="2">
                  <c:v>4000</c:v>
                </c:pt>
                <c:pt idx="3">
                  <c:v>4100</c:v>
                </c:pt>
                <c:pt idx="4">
                  <c:v>6000</c:v>
                </c:pt>
                <c:pt idx="5">
                  <c:v>6500</c:v>
                </c:pt>
                <c:pt idx="6">
                  <c:v>7500</c:v>
                </c:pt>
              </c:numCache>
            </c:numRef>
          </c:cat>
          <c:val>
            <c:numRef>
              <c:f>P1curve!$C$25:$I$25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091-46EE-AACC-CD814287D023}"/>
            </c:ext>
          </c:extLst>
        </c:ser>
        <c:ser>
          <c:idx val="16"/>
          <c:order val="16"/>
          <c:tx>
            <c:v>12</c:v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numRef>
              <c:f>P1curve!$C$9:$I$9</c:f>
              <c:numCache>
                <c:formatCode>General</c:formatCode>
                <c:ptCount val="7"/>
                <c:pt idx="0">
                  <c:v>2300</c:v>
                </c:pt>
                <c:pt idx="1">
                  <c:v>2857</c:v>
                </c:pt>
                <c:pt idx="2">
                  <c:v>4000</c:v>
                </c:pt>
                <c:pt idx="3">
                  <c:v>4100</c:v>
                </c:pt>
                <c:pt idx="4">
                  <c:v>6000</c:v>
                </c:pt>
                <c:pt idx="5">
                  <c:v>6500</c:v>
                </c:pt>
                <c:pt idx="6">
                  <c:v>7500</c:v>
                </c:pt>
              </c:numCache>
            </c:numRef>
          </c:cat>
          <c:val>
            <c:numRef>
              <c:f>P1curve!$C$26:$I$26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091-46EE-AACC-CD814287D023}"/>
            </c:ext>
          </c:extLst>
        </c:ser>
        <c:ser>
          <c:idx val="17"/>
          <c:order val="17"/>
          <c:tx>
            <c:v>13</c:v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numRef>
              <c:f>P1curve!$C$9:$I$9</c:f>
              <c:numCache>
                <c:formatCode>General</c:formatCode>
                <c:ptCount val="7"/>
                <c:pt idx="0">
                  <c:v>2300</c:v>
                </c:pt>
                <c:pt idx="1">
                  <c:v>2857</c:v>
                </c:pt>
                <c:pt idx="2">
                  <c:v>4000</c:v>
                </c:pt>
                <c:pt idx="3">
                  <c:v>4100</c:v>
                </c:pt>
                <c:pt idx="4">
                  <c:v>6000</c:v>
                </c:pt>
                <c:pt idx="5">
                  <c:v>6500</c:v>
                </c:pt>
                <c:pt idx="6">
                  <c:v>7500</c:v>
                </c:pt>
              </c:numCache>
            </c:numRef>
          </c:cat>
          <c:val>
            <c:numRef>
              <c:f>P1curve!$C$27:$I$27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7091-46EE-AACC-CD814287D023}"/>
            </c:ext>
          </c:extLst>
        </c:ser>
        <c:ser>
          <c:idx val="18"/>
          <c:order val="18"/>
          <c:tx>
            <c:v>14</c:v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numRef>
              <c:f>P1curve!$C$9:$I$9</c:f>
              <c:numCache>
                <c:formatCode>General</c:formatCode>
                <c:ptCount val="7"/>
                <c:pt idx="0">
                  <c:v>2300</c:v>
                </c:pt>
                <c:pt idx="1">
                  <c:v>2857</c:v>
                </c:pt>
                <c:pt idx="2">
                  <c:v>4000</c:v>
                </c:pt>
                <c:pt idx="3">
                  <c:v>4100</c:v>
                </c:pt>
                <c:pt idx="4">
                  <c:v>6000</c:v>
                </c:pt>
                <c:pt idx="5">
                  <c:v>6500</c:v>
                </c:pt>
                <c:pt idx="6">
                  <c:v>7500</c:v>
                </c:pt>
              </c:numCache>
            </c:numRef>
          </c:cat>
          <c:val>
            <c:numRef>
              <c:f>P1curve!$C$28:$I$28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7091-46EE-AACC-CD814287D023}"/>
            </c:ext>
          </c:extLst>
        </c:ser>
        <c:ser>
          <c:idx val="19"/>
          <c:order val="19"/>
          <c:tx>
            <c:v>15</c:v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cat>
            <c:numRef>
              <c:f>P1curve!$C$9:$I$9</c:f>
              <c:numCache>
                <c:formatCode>General</c:formatCode>
                <c:ptCount val="7"/>
                <c:pt idx="0">
                  <c:v>2300</c:v>
                </c:pt>
                <c:pt idx="1">
                  <c:v>2857</c:v>
                </c:pt>
                <c:pt idx="2">
                  <c:v>4000</c:v>
                </c:pt>
                <c:pt idx="3">
                  <c:v>4100</c:v>
                </c:pt>
                <c:pt idx="4">
                  <c:v>6000</c:v>
                </c:pt>
                <c:pt idx="5">
                  <c:v>6500</c:v>
                </c:pt>
                <c:pt idx="6">
                  <c:v>7500</c:v>
                </c:pt>
              </c:numCache>
            </c:numRef>
          </c:cat>
          <c:val>
            <c:numRef>
              <c:f>P1curve!$C$29:$I$29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7091-46EE-AACC-CD814287D023}"/>
            </c:ext>
          </c:extLst>
        </c:ser>
        <c:ser>
          <c:idx val="20"/>
          <c:order val="20"/>
          <c:tx>
            <c:v>16</c:v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numRef>
              <c:f>P1curve!$C$9:$I$9</c:f>
              <c:numCache>
                <c:formatCode>General</c:formatCode>
                <c:ptCount val="7"/>
                <c:pt idx="0">
                  <c:v>2300</c:v>
                </c:pt>
                <c:pt idx="1">
                  <c:v>2857</c:v>
                </c:pt>
                <c:pt idx="2">
                  <c:v>4000</c:v>
                </c:pt>
                <c:pt idx="3">
                  <c:v>4100</c:v>
                </c:pt>
                <c:pt idx="4">
                  <c:v>6000</c:v>
                </c:pt>
                <c:pt idx="5">
                  <c:v>6500</c:v>
                </c:pt>
                <c:pt idx="6">
                  <c:v>7500</c:v>
                </c:pt>
              </c:numCache>
            </c:numRef>
          </c:cat>
          <c:val>
            <c:numRef>
              <c:f>P1curve!$C$30:$I$30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7091-46EE-AACC-CD814287D023}"/>
            </c:ext>
          </c:extLst>
        </c:ser>
        <c:ser>
          <c:idx val="21"/>
          <c:order val="21"/>
          <c:tx>
            <c:v>17</c:v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cat>
            <c:numRef>
              <c:f>P1curve!$C$9:$I$9</c:f>
              <c:numCache>
                <c:formatCode>General</c:formatCode>
                <c:ptCount val="7"/>
                <c:pt idx="0">
                  <c:v>2300</c:v>
                </c:pt>
                <c:pt idx="1">
                  <c:v>2857</c:v>
                </c:pt>
                <c:pt idx="2">
                  <c:v>4000</c:v>
                </c:pt>
                <c:pt idx="3">
                  <c:v>4100</c:v>
                </c:pt>
                <c:pt idx="4">
                  <c:v>6000</c:v>
                </c:pt>
                <c:pt idx="5">
                  <c:v>6500</c:v>
                </c:pt>
                <c:pt idx="6">
                  <c:v>7500</c:v>
                </c:pt>
              </c:numCache>
            </c:numRef>
          </c:cat>
          <c:val>
            <c:numRef>
              <c:f>P1curve!$C$31:$I$31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7091-46EE-AACC-CD814287D023}"/>
            </c:ext>
          </c:extLst>
        </c:ser>
        <c:ser>
          <c:idx val="22"/>
          <c:order val="22"/>
          <c:tx>
            <c:v>18</c:v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cat>
            <c:numRef>
              <c:f>P1curve!$C$9:$I$9</c:f>
              <c:numCache>
                <c:formatCode>General</c:formatCode>
                <c:ptCount val="7"/>
                <c:pt idx="0">
                  <c:v>2300</c:v>
                </c:pt>
                <c:pt idx="1">
                  <c:v>2857</c:v>
                </c:pt>
                <c:pt idx="2">
                  <c:v>4000</c:v>
                </c:pt>
                <c:pt idx="3">
                  <c:v>4100</c:v>
                </c:pt>
                <c:pt idx="4">
                  <c:v>6000</c:v>
                </c:pt>
                <c:pt idx="5">
                  <c:v>6500</c:v>
                </c:pt>
                <c:pt idx="6">
                  <c:v>7500</c:v>
                </c:pt>
              </c:numCache>
            </c:numRef>
          </c:cat>
          <c:val>
            <c:numRef>
              <c:f>P1curve!$C$32:$I$32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7091-46EE-AACC-CD814287D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0493247"/>
        <c:axId val="1970493663"/>
      </c:lineChart>
      <c:catAx>
        <c:axId val="1970493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70493663"/>
        <c:crosses val="autoZero"/>
        <c:auto val="1"/>
        <c:lblAlgn val="ctr"/>
        <c:lblOffset val="100"/>
        <c:noMultiLvlLbl val="0"/>
      </c:catAx>
      <c:valAx>
        <c:axId val="1970493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70493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257174</xdr:colOff>
      <xdr:row>7</xdr:row>
      <xdr:rowOff>209548</xdr:rowOff>
    </xdr:from>
    <xdr:to>
      <xdr:col>20</xdr:col>
      <xdr:colOff>685799</xdr:colOff>
      <xdr:row>22</xdr:row>
      <xdr:rowOff>209549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0190F1D9-64D6-42CE-B945-183E850883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24</xdr:row>
      <xdr:rowOff>0</xdr:rowOff>
    </xdr:from>
    <xdr:to>
      <xdr:col>21</xdr:col>
      <xdr:colOff>0</xdr:colOff>
      <xdr:row>39</xdr:row>
      <xdr:rowOff>1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EAABE68E-3511-4B9B-8B6D-5FFB4E68A6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085-7200-4A31-AC31-5A7835FE37BA}">
  <sheetPr codeName="工作表1"/>
  <dimension ref="A1:AZ106"/>
  <sheetViews>
    <sheetView tabSelected="1" zoomScaleNormal="100" workbookViewId="0">
      <selection activeCell="B2" sqref="B2:F5"/>
    </sheetView>
  </sheetViews>
  <sheetFormatPr defaultRowHeight="16.5"/>
  <cols>
    <col min="1" max="1" width="3.375" style="14" customWidth="1"/>
    <col min="2" max="4" width="9" style="13"/>
    <col min="5" max="5" width="9" style="13" customWidth="1"/>
    <col min="6" max="6" width="3.375" style="13" customWidth="1"/>
    <col min="7" max="8" width="9" style="13" customWidth="1"/>
    <col min="9" max="10" width="9" style="14" customWidth="1"/>
    <col min="11" max="11" width="3.375" style="14" customWidth="1"/>
    <col min="12" max="13" width="9" style="14" customWidth="1"/>
    <col min="14" max="16" width="9" style="14"/>
    <col min="17" max="17" width="3.375" style="14" customWidth="1"/>
    <col min="18" max="21" width="9" style="14"/>
    <col min="22" max="22" width="3.375" style="14" customWidth="1"/>
    <col min="23" max="26" width="9" style="14"/>
    <col min="27" max="27" width="3.375" style="14" customWidth="1"/>
    <col min="28" max="31" width="9" style="14"/>
    <col min="32" max="32" width="3.375" style="14" customWidth="1"/>
    <col min="33" max="36" width="9" style="14"/>
    <col min="37" max="37" width="3.375" style="14" customWidth="1"/>
    <col min="38" max="41" width="9" style="14"/>
    <col min="42" max="42" width="3.375" style="14" customWidth="1"/>
    <col min="43" max="46" width="9" style="14"/>
    <col min="47" max="47" width="3.375" style="14" customWidth="1"/>
    <col min="48" max="51" width="9" style="14"/>
    <col min="52" max="52" width="3.375" style="14" customWidth="1"/>
    <col min="53" max="16384" width="9" style="14"/>
  </cols>
  <sheetData>
    <row r="1" spans="2:47">
      <c r="N1" s="13"/>
      <c r="O1" s="13"/>
      <c r="P1" s="13"/>
      <c r="Q1" s="13"/>
      <c r="R1" s="13"/>
      <c r="S1" s="13"/>
      <c r="T1" s="13"/>
      <c r="U1" s="13"/>
      <c r="V1" s="13"/>
      <c r="W1" s="13"/>
    </row>
    <row r="2" spans="2:47">
      <c r="B2" s="126" t="s">
        <v>6</v>
      </c>
      <c r="C2" s="127"/>
      <c r="D2" s="127"/>
      <c r="E2" s="127"/>
      <c r="F2" s="128"/>
      <c r="G2" s="98" t="s">
        <v>7</v>
      </c>
      <c r="H2" s="135"/>
      <c r="I2" s="15" t="s">
        <v>3</v>
      </c>
      <c r="J2" s="15" t="s">
        <v>131</v>
      </c>
      <c r="L2" s="98" t="s">
        <v>133</v>
      </c>
      <c r="M2" s="98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2:47">
      <c r="B3" s="129"/>
      <c r="C3" s="130"/>
      <c r="D3" s="130"/>
      <c r="E3" s="130"/>
      <c r="F3" s="131"/>
      <c r="G3" s="136" t="s">
        <v>50</v>
      </c>
      <c r="H3" s="137"/>
      <c r="I3" s="138"/>
      <c r="J3" s="12"/>
      <c r="L3" s="12" t="s">
        <v>68</v>
      </c>
      <c r="M3" s="39">
        <v>1</v>
      </c>
      <c r="N3" s="13"/>
      <c r="O3" s="13"/>
      <c r="P3" s="13"/>
      <c r="Q3" s="13"/>
      <c r="R3" s="13"/>
      <c r="S3" s="13"/>
      <c r="T3" s="13"/>
      <c r="U3" s="13"/>
      <c r="V3" s="13"/>
      <c r="W3" s="1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</row>
    <row r="4" spans="2:47">
      <c r="B4" s="129"/>
      <c r="C4" s="130"/>
      <c r="D4" s="130"/>
      <c r="E4" s="130"/>
      <c r="F4" s="131"/>
      <c r="G4" s="136" t="s">
        <v>51</v>
      </c>
      <c r="H4" s="137"/>
      <c r="I4" s="138"/>
      <c r="J4" s="12"/>
      <c r="L4" s="12" t="s">
        <v>69</v>
      </c>
      <c r="M4" s="39">
        <v>1</v>
      </c>
      <c r="N4" s="13"/>
      <c r="O4" s="13"/>
      <c r="P4" s="13"/>
      <c r="Q4"/>
      <c r="R4"/>
      <c r="S4"/>
      <c r="T4"/>
      <c r="U4"/>
      <c r="V4" s="13"/>
      <c r="W4" s="13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</row>
    <row r="5" spans="2:47">
      <c r="B5" s="132"/>
      <c r="C5" s="133"/>
      <c r="D5" s="133"/>
      <c r="E5" s="133"/>
      <c r="F5" s="134"/>
      <c r="G5" s="136" t="s">
        <v>48</v>
      </c>
      <c r="H5" s="139"/>
      <c r="I5" s="72" t="e">
        <f>IF(J12=0,INT(L66*X12/512*H7/512),IF(J12=2,INT(E15*H7/512),IF(L66&gt;E15,(E15+((L66-E15)*P16/O16))*H7/512,(L66+((E15-L66)*P16/O16))*H7/512)))</f>
        <v>#DIV/0!</v>
      </c>
      <c r="J5" s="12" t="e">
        <f>I5</f>
        <v>#DIV/0!</v>
      </c>
      <c r="L5" s="12" t="s">
        <v>70</v>
      </c>
      <c r="M5" s="12" t="e">
        <f>INT(J5*M3)</f>
        <v>#DIV/0!</v>
      </c>
      <c r="N5" s="13"/>
      <c r="Q5"/>
      <c r="R5"/>
      <c r="S5"/>
      <c r="T5"/>
      <c r="U5"/>
      <c r="V5" s="13"/>
      <c r="W5" s="13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</row>
    <row r="6" spans="2:47">
      <c r="B6" s="148"/>
      <c r="C6" s="137"/>
      <c r="D6" s="137"/>
      <c r="E6" s="137"/>
      <c r="F6" s="138"/>
      <c r="G6" s="136" t="s">
        <v>49</v>
      </c>
      <c r="H6" s="139"/>
      <c r="I6" s="72" t="e">
        <f>IF(J12=0,INT(M66*X13/512*J7/512),IF(J12=2,INT(E16*J7/512),IF(M66&gt;E16,(E16+((M66-E16)*P16/O16))*J7/512,(M66+((E16-M66)*P16/O16))*J7/512)))</f>
        <v>#DIV/0!</v>
      </c>
      <c r="J6" s="12" t="e">
        <f>I6</f>
        <v>#DIV/0!</v>
      </c>
      <c r="L6" s="12" t="s">
        <v>71</v>
      </c>
      <c r="M6" s="12" t="e">
        <f>INT(J6*M4)</f>
        <v>#DIV/0!</v>
      </c>
      <c r="N6" s="13"/>
      <c r="Q6"/>
      <c r="R6"/>
      <c r="S6"/>
      <c r="T6"/>
      <c r="U6"/>
      <c r="V6" s="13"/>
      <c r="W6" s="13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</row>
    <row r="7" spans="2:47" ht="16.5" customHeight="1">
      <c r="G7" s="17" t="s">
        <v>128</v>
      </c>
      <c r="H7" s="17"/>
      <c r="I7" s="18" t="s">
        <v>129</v>
      </c>
      <c r="J7" s="18"/>
      <c r="L7" s="111" t="s">
        <v>132</v>
      </c>
      <c r="M7" s="149"/>
      <c r="N7" s="13"/>
      <c r="O7" s="13"/>
      <c r="P7" s="13"/>
      <c r="Q7"/>
      <c r="R7"/>
      <c r="S7"/>
      <c r="T7"/>
      <c r="U7"/>
      <c r="V7" s="13"/>
      <c r="W7" s="13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</row>
    <row r="8" spans="2:47">
      <c r="B8" s="150" t="s">
        <v>292</v>
      </c>
      <c r="C8" s="151"/>
      <c r="D8" s="130"/>
      <c r="E8" s="152" t="s">
        <v>130</v>
      </c>
      <c r="F8" s="153"/>
      <c r="G8" s="153"/>
      <c r="H8" s="153"/>
      <c r="I8" s="153"/>
      <c r="J8" s="130"/>
      <c r="L8" s="12" t="s">
        <v>68</v>
      </c>
      <c r="M8" s="8" t="e">
        <f>I5/J5</f>
        <v>#DIV/0!</v>
      </c>
      <c r="N8" s="13"/>
      <c r="O8" s="13"/>
      <c r="P8" s="13"/>
      <c r="Q8"/>
      <c r="R8"/>
      <c r="S8"/>
      <c r="T8"/>
      <c r="U8"/>
      <c r="V8" s="13"/>
      <c r="W8" s="13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</row>
    <row r="9" spans="2:47">
      <c r="B9" s="151"/>
      <c r="C9" s="151"/>
      <c r="D9" s="130"/>
      <c r="E9" s="153"/>
      <c r="F9" s="153"/>
      <c r="G9" s="153"/>
      <c r="H9" s="153"/>
      <c r="I9" s="153"/>
      <c r="J9" s="130"/>
      <c r="L9" s="12" t="s">
        <v>69</v>
      </c>
      <c r="M9" s="8" t="e">
        <f>I6/J6</f>
        <v>#DIV/0!</v>
      </c>
      <c r="N9" s="13"/>
      <c r="O9" s="13"/>
      <c r="P9" s="13"/>
      <c r="Q9"/>
      <c r="R9"/>
      <c r="S9"/>
      <c r="T9"/>
      <c r="U9"/>
      <c r="V9" s="13"/>
      <c r="W9" s="13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</row>
    <row r="10" spans="2:47">
      <c r="B10" s="19"/>
      <c r="C10" s="19"/>
      <c r="D10" s="14"/>
      <c r="E10" s="20"/>
      <c r="F10" s="20"/>
      <c r="G10" s="20"/>
      <c r="H10" s="20"/>
      <c r="I10" s="20"/>
      <c r="L10" s="13"/>
      <c r="N10" s="13"/>
      <c r="O10" s="13"/>
      <c r="P10" s="13"/>
      <c r="Q10"/>
      <c r="R10"/>
      <c r="S10"/>
      <c r="T10"/>
      <c r="U10"/>
      <c r="V10" s="13"/>
      <c r="W10" s="13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</row>
    <row r="11" spans="2:47">
      <c r="B11" s="123" t="s">
        <v>139</v>
      </c>
      <c r="C11" s="124"/>
      <c r="D11" s="125"/>
      <c r="E11" s="21" t="s">
        <v>8</v>
      </c>
      <c r="F11" s="20"/>
      <c r="G11" s="112" t="s">
        <v>156</v>
      </c>
      <c r="H11" s="113"/>
      <c r="I11" s="114"/>
      <c r="J11" s="21" t="s">
        <v>8</v>
      </c>
      <c r="L11" s="98" t="s">
        <v>153</v>
      </c>
      <c r="M11" s="98"/>
      <c r="N11" s="98"/>
      <c r="O11" s="98"/>
      <c r="P11" s="98"/>
      <c r="Q11" s="13"/>
      <c r="R11" s="158" t="s">
        <v>299</v>
      </c>
      <c r="S11" s="12" t="s">
        <v>142</v>
      </c>
      <c r="T11" s="12"/>
      <c r="U11" s="12"/>
      <c r="V11" s="13"/>
      <c r="W11" s="112" t="s">
        <v>151</v>
      </c>
      <c r="X11" s="112"/>
      <c r="Y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</row>
    <row r="12" spans="2:47">
      <c r="B12" s="91" t="s">
        <v>136</v>
      </c>
      <c r="C12" s="94"/>
      <c r="D12" s="94"/>
      <c r="E12" s="12" t="e">
        <f>(P35*$J$30/100+U35*$J$31/100+Z35*$J$32/100+AE35*$J$33/100+AJ35*$J$34/100+AO35*$J$35/100+AT35*$J$36/100)</f>
        <v>#DIV/0!</v>
      </c>
      <c r="F12" s="20"/>
      <c r="G12" s="96" t="s">
        <v>304</v>
      </c>
      <c r="H12" s="143"/>
      <c r="I12" s="143"/>
      <c r="J12" s="73"/>
      <c r="L12" s="144" t="s">
        <v>152</v>
      </c>
      <c r="M12" s="145"/>
      <c r="N12" s="145"/>
      <c r="O12" s="145"/>
      <c r="P12" s="81"/>
      <c r="Q12" s="13"/>
      <c r="R12" s="159"/>
      <c r="S12" s="12" t="s">
        <v>145</v>
      </c>
      <c r="T12" s="12"/>
      <c r="U12" s="12"/>
      <c r="V12" s="13"/>
      <c r="W12" s="27" t="s">
        <v>296</v>
      </c>
      <c r="X12" s="12" t="e">
        <f>INT(N39*J30/100+N40*J31/100+N41*J32/100+N42*J33/100+N43*J34/100+N44*J35/100+N45*J36/100)</f>
        <v>#DIV/0!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</row>
    <row r="13" spans="2:47">
      <c r="B13" s="91" t="s">
        <v>137</v>
      </c>
      <c r="C13" s="94"/>
      <c r="D13" s="94"/>
      <c r="E13" s="12" t="e">
        <f>(P36*$J$30/100+U36*$J$31/100+Z36*$J$32/100+AE36*$J$33/100+AJ36*$J$34/100+AO36*$J$35/100+AT36*$J$36/100)</f>
        <v>#DIV/0!</v>
      </c>
      <c r="F13" s="20"/>
      <c r="G13" s="146" t="s">
        <v>157</v>
      </c>
      <c r="H13" s="146"/>
      <c r="I13" s="146"/>
      <c r="J13" s="146"/>
      <c r="L13" s="147" t="s">
        <v>134</v>
      </c>
      <c r="M13" s="80"/>
      <c r="N13" s="81"/>
      <c r="O13" s="12"/>
      <c r="P13" s="12" t="e">
        <f>SUM(J20:J26)</f>
        <v>#DIV/0!</v>
      </c>
      <c r="R13" s="160"/>
      <c r="S13" s="12" t="s">
        <v>146</v>
      </c>
      <c r="T13" s="12"/>
      <c r="U13" s="12"/>
      <c r="V13" s="13"/>
      <c r="W13" s="27" t="s">
        <v>297</v>
      </c>
      <c r="X13" s="12" t="e">
        <f>INT(P39*J30/100+P40*J31/100+P41*J32/100+P42*J33/100+P43*J34/100+P44*J35/100+P45*J36/100)</f>
        <v>#DIV/0!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</row>
    <row r="14" spans="2:47">
      <c r="B14" s="123" t="s">
        <v>138</v>
      </c>
      <c r="C14" s="124"/>
      <c r="D14" s="125"/>
      <c r="E14" s="21" t="s">
        <v>8</v>
      </c>
      <c r="F14" s="20"/>
      <c r="G14" s="146"/>
      <c r="H14" s="146"/>
      <c r="I14" s="146"/>
      <c r="J14" s="146"/>
      <c r="L14" s="161" t="s">
        <v>135</v>
      </c>
      <c r="M14" s="80"/>
      <c r="N14" s="81"/>
      <c r="O14" s="12"/>
      <c r="P14" s="12" t="e">
        <f>_xlfn.CONCAT(J23,"&amp;",J26)</f>
        <v>#DIV/0!</v>
      </c>
      <c r="R14" s="12" t="s">
        <v>300</v>
      </c>
      <c r="S14" s="12" t="s">
        <v>147</v>
      </c>
      <c r="T14" s="12"/>
      <c r="U14" s="12"/>
      <c r="V14" s="13"/>
      <c r="W14" s="123" t="s">
        <v>298</v>
      </c>
      <c r="X14" s="123"/>
      <c r="Y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</row>
    <row r="15" spans="2:47">
      <c r="B15" s="91" t="s">
        <v>140</v>
      </c>
      <c r="C15" s="94"/>
      <c r="D15" s="94"/>
      <c r="E15" s="12"/>
      <c r="F15" s="20"/>
      <c r="G15" s="146"/>
      <c r="H15" s="146"/>
      <c r="I15" s="146"/>
      <c r="J15" s="146"/>
      <c r="L15" s="98" t="s">
        <v>155</v>
      </c>
      <c r="M15" s="98"/>
      <c r="N15" s="98"/>
      <c r="O15" s="98"/>
      <c r="P15" s="98"/>
      <c r="Q15" s="13"/>
      <c r="R15" s="12"/>
      <c r="S15" s="12" t="s">
        <v>148</v>
      </c>
      <c r="T15" s="12"/>
      <c r="U15" s="12"/>
      <c r="V15" s="13"/>
      <c r="W15" s="12" t="s">
        <v>163</v>
      </c>
      <c r="X15" s="12"/>
      <c r="Y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</row>
    <row r="16" spans="2:47">
      <c r="B16" s="91" t="s">
        <v>141</v>
      </c>
      <c r="C16" s="94"/>
      <c r="D16" s="94"/>
      <c r="E16" s="12"/>
      <c r="F16" s="20"/>
      <c r="G16" s="146"/>
      <c r="H16" s="146"/>
      <c r="I16" s="146"/>
      <c r="J16" s="146"/>
      <c r="L16" s="118" t="s">
        <v>154</v>
      </c>
      <c r="M16" s="162"/>
      <c r="N16" s="162"/>
      <c r="O16" s="12"/>
      <c r="P16" s="12" t="e">
        <f>SUM(J20:J26)</f>
        <v>#DIV/0!</v>
      </c>
      <c r="Q16" s="13"/>
      <c r="R16" s="12" t="s">
        <v>301</v>
      </c>
      <c r="S16" s="12" t="s">
        <v>149</v>
      </c>
      <c r="T16" s="12"/>
      <c r="U16" s="12"/>
      <c r="V16" s="13"/>
      <c r="W16" s="12" t="s">
        <v>164</v>
      </c>
      <c r="X16" s="12"/>
      <c r="Y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</row>
    <row r="17" spans="2:52">
      <c r="B17" s="23"/>
      <c r="C17" s="24"/>
      <c r="D17" s="24"/>
      <c r="F17" s="20"/>
      <c r="G17" s="14"/>
      <c r="H17" s="14"/>
      <c r="L17" s="25"/>
      <c r="M17" s="26"/>
      <c r="N17" s="26"/>
      <c r="O17" s="13"/>
      <c r="P17" s="66"/>
      <c r="Q17" s="13"/>
      <c r="R17" s="12"/>
      <c r="S17" s="12" t="s">
        <v>150</v>
      </c>
      <c r="T17" s="12"/>
      <c r="U17" s="74"/>
      <c r="V17" s="13"/>
      <c r="W17" s="12" t="s">
        <v>165</v>
      </c>
      <c r="X17" s="12"/>
      <c r="Y17"/>
      <c r="Z17" s="66"/>
      <c r="AE17" s="66"/>
      <c r="AJ17" s="66"/>
      <c r="AO17" s="66"/>
      <c r="AT17" s="66"/>
    </row>
    <row r="18" spans="2:52">
      <c r="B18" s="67"/>
      <c r="C18" s="67"/>
      <c r="D18" s="67"/>
      <c r="E18" s="67"/>
      <c r="F18" s="67"/>
      <c r="G18" s="115" t="s">
        <v>227</v>
      </c>
      <c r="H18" s="116"/>
      <c r="I18" s="116"/>
      <c r="J18" s="116"/>
      <c r="K18" s="68"/>
      <c r="L18" s="68"/>
      <c r="N18" s="66"/>
      <c r="O18" s="66"/>
      <c r="P18" s="66"/>
      <c r="U18" s="66"/>
      <c r="X18" s="66"/>
      <c r="Z18" s="66"/>
      <c r="AC18" s="66"/>
      <c r="AE18" s="66"/>
      <c r="AH18" s="66"/>
      <c r="AJ18" s="66"/>
      <c r="AM18" s="66"/>
      <c r="AO18" s="66"/>
      <c r="AR18" s="66"/>
      <c r="AT18" s="66"/>
    </row>
    <row r="19" spans="2:52">
      <c r="B19" s="98" t="s">
        <v>38</v>
      </c>
      <c r="C19" s="100"/>
      <c r="D19" s="101"/>
      <c r="E19" s="21" t="s">
        <v>8</v>
      </c>
      <c r="F19" s="28"/>
      <c r="G19" s="98" t="s">
        <v>46</v>
      </c>
      <c r="H19" s="100"/>
      <c r="I19" s="101"/>
      <c r="J19" s="21" t="s">
        <v>8</v>
      </c>
      <c r="K19" s="28"/>
      <c r="L19" s="111" t="s">
        <v>61</v>
      </c>
      <c r="M19" s="81"/>
      <c r="N19" s="21" t="s">
        <v>62</v>
      </c>
      <c r="O19" s="98" t="s">
        <v>293</v>
      </c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98"/>
      <c r="AB19" s="98"/>
      <c r="AC19" s="98"/>
      <c r="AD19" s="98"/>
      <c r="AE19" s="98"/>
      <c r="AF19" s="98"/>
      <c r="AG19" s="98"/>
      <c r="AH19" s="98"/>
      <c r="AI19" s="98"/>
      <c r="AJ19" s="98"/>
      <c r="AK19" s="98"/>
      <c r="AL19" s="98"/>
      <c r="AM19" s="98"/>
      <c r="AN19" s="98"/>
      <c r="AO19" s="98"/>
      <c r="AP19" s="98"/>
      <c r="AQ19" s="98"/>
      <c r="AR19" s="98"/>
      <c r="AS19" s="98"/>
      <c r="AT19" s="98"/>
      <c r="AU19" s="98"/>
      <c r="AV19" s="98"/>
      <c r="AW19" s="98"/>
      <c r="AX19" s="98"/>
      <c r="AY19" s="98"/>
    </row>
    <row r="20" spans="2:52">
      <c r="B20" s="118" t="s">
        <v>9</v>
      </c>
      <c r="C20" s="119"/>
      <c r="D20" s="120"/>
      <c r="E20" s="12"/>
      <c r="F20" s="14"/>
      <c r="G20" s="118" t="s">
        <v>9</v>
      </c>
      <c r="H20" s="119"/>
      <c r="I20" s="120"/>
      <c r="J20" s="12" t="e">
        <f>E20-(L20*P21/32)</f>
        <v>#DIV/0!</v>
      </c>
      <c r="K20" s="32">
        <v>0</v>
      </c>
      <c r="L20" s="16">
        <v>0</v>
      </c>
      <c r="M20" s="12">
        <f>SUM(L20:L26)</f>
        <v>0</v>
      </c>
      <c r="N20" s="12">
        <f>N22+S22+X22+AC22+AH22+AM22+AR22+AW22</f>
        <v>0</v>
      </c>
      <c r="O20" s="98"/>
      <c r="P20" s="98"/>
      <c r="Q20" s="98"/>
      <c r="R20" s="98"/>
      <c r="S20" s="98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98"/>
      <c r="AF20" s="98"/>
      <c r="AG20" s="98"/>
      <c r="AH20" s="98"/>
      <c r="AI20" s="98"/>
      <c r="AJ20" s="98"/>
      <c r="AK20" s="98"/>
      <c r="AL20" s="98"/>
      <c r="AM20" s="98"/>
      <c r="AN20" s="98"/>
      <c r="AO20" s="98"/>
      <c r="AP20" s="98"/>
      <c r="AQ20" s="98"/>
      <c r="AR20" s="98"/>
      <c r="AS20" s="98"/>
      <c r="AT20" s="98"/>
      <c r="AU20" s="98"/>
      <c r="AV20" s="98"/>
      <c r="AW20" s="98"/>
      <c r="AX20" s="98"/>
      <c r="AY20" s="98"/>
    </row>
    <row r="21" spans="2:52">
      <c r="B21" s="118" t="s">
        <v>10</v>
      </c>
      <c r="C21" s="119"/>
      <c r="D21" s="120"/>
      <c r="E21" s="12"/>
      <c r="F21" s="14"/>
      <c r="G21" s="118" t="s">
        <v>10</v>
      </c>
      <c r="H21" s="119"/>
      <c r="I21" s="120"/>
      <c r="J21" s="12" t="e">
        <f>E21-(L21*U21/32)</f>
        <v>#DIV/0!</v>
      </c>
      <c r="K21" s="32">
        <v>0</v>
      </c>
      <c r="L21" s="16">
        <v>0</v>
      </c>
      <c r="M21" s="112" t="s">
        <v>248</v>
      </c>
      <c r="N21" s="112"/>
      <c r="O21" s="42" t="s">
        <v>255</v>
      </c>
      <c r="P21" s="42" t="e">
        <f>IF(AND($J$3&gt;(P26-10),$J$3&lt;=P26),P22*($J$3-(P26-P23))/P23,IF(AND($J$3&gt;P26,$J$3&lt;=P27),P22,IF(AND($J$3&gt;P27,$J$3&lt;=(P27+10)),P22*((P27-P23)-$J$3)/P23,0)))</f>
        <v>#DIV/0!</v>
      </c>
      <c r="Q21" s="29"/>
      <c r="R21" s="82" t="s">
        <v>249</v>
      </c>
      <c r="S21" s="82"/>
      <c r="T21" s="42" t="s">
        <v>255</v>
      </c>
      <c r="U21" s="42" t="e">
        <f>IF(AND($J$3&gt;(U26-10),$J$3&lt;=U26),U22*($J$3-(U26-U23))/U23,IF(AND($J$3&gt;U26,$J$3&lt;=U27),U22,IF(AND($J$3&gt;U27,$J$3&lt;=(U27+10)),U22*((U27-U23)-$J$3)/U23,0)))</f>
        <v>#DIV/0!</v>
      </c>
      <c r="V21" s="29"/>
      <c r="W21" s="82" t="s">
        <v>250</v>
      </c>
      <c r="X21" s="82"/>
      <c r="Y21" s="42" t="s">
        <v>255</v>
      </c>
      <c r="Z21" s="42" t="e">
        <f>IF(AND($J$3&gt;(Z26-10),$J$3&lt;=Z26),Z22*($J$3-(Z26-Z23))/Z23,IF(AND($J$3&gt;Z26,$J$3&lt;=Z27),Z22,IF(AND($J$3&gt;Z27,$J$3&lt;=(Z27+10)),Z22*((Z27-Z23)-$J$3)/Z23,0)))</f>
        <v>#DIV/0!</v>
      </c>
      <c r="AA21" s="29"/>
      <c r="AB21" s="82" t="s">
        <v>251</v>
      </c>
      <c r="AC21" s="82"/>
      <c r="AD21" s="42" t="s">
        <v>255</v>
      </c>
      <c r="AE21" s="42" t="e">
        <f>IF(AND($J$3&gt;(AE26-10),$J$3&lt;=AE26),AE22*($J$3-(AE26-AE23))/AE23,IF(AND($J$3&gt;AE26,$J$3&lt;=AE27),AE22,IF(AND($J$3&gt;AE27,$J$3&lt;=(AE27+10)),AE22*((AE27-AE23)-$J$3)/AE23,0)))</f>
        <v>#DIV/0!</v>
      </c>
      <c r="AF21" s="29"/>
      <c r="AG21" s="82" t="s">
        <v>252</v>
      </c>
      <c r="AH21" s="82"/>
      <c r="AI21" s="42" t="s">
        <v>255</v>
      </c>
      <c r="AJ21" s="42" t="e">
        <f>IF(AND($J$3&gt;(AJ26-10),$J$3&lt;=AJ26),AJ22*($J$3-(AJ26-AJ23))/AJ23,IF(AND($J$3&gt;AJ26,$J$3&lt;=AJ27),AJ22,IF(AND($J$3&gt;AJ27,$J$3&lt;=(AJ27+10)),AJ22*((AJ27-AJ23)-$J$3)/AJ23,0)))</f>
        <v>#DIV/0!</v>
      </c>
      <c r="AK21" s="29"/>
      <c r="AL21" s="82" t="s">
        <v>253</v>
      </c>
      <c r="AM21" s="82"/>
      <c r="AN21" s="42" t="s">
        <v>255</v>
      </c>
      <c r="AO21" s="42" t="e">
        <f>IF(AND($J$3&gt;(AO26-10),$J$3&lt;=AO26),AO22*($J$3-(AO26-AO23))/AO23,IF(AND($J$3&gt;AO26,$J$3&lt;=AO27),AO22,IF(AND($J$3&gt;AO27,$J$3&lt;=(AO27+10)),AO22*((AO27-AO23)-$J$3)/AO23,0)))</f>
        <v>#DIV/0!</v>
      </c>
      <c r="AP21" s="29"/>
      <c r="AQ21" s="82" t="s">
        <v>254</v>
      </c>
      <c r="AR21" s="82"/>
      <c r="AS21" s="42" t="s">
        <v>255</v>
      </c>
      <c r="AT21" s="42" t="e">
        <f>IF(AND($J$3&gt;(AT26-10),$J$3&lt;=AT26),AT22*($J$3-(AT26-AT23))/AT23,IF(AND($J$3&gt;AT26,$J$3&lt;=AT27),AT22,IF(AND($J$3&gt;AT27,$J$3&lt;=(AT27+10)),AT22*((AT27-AT23)-$J$3)/AT23,0)))</f>
        <v>#DIV/0!</v>
      </c>
      <c r="AU21" s="30"/>
      <c r="AV21" s="98" t="s">
        <v>302</v>
      </c>
      <c r="AW21" s="98"/>
      <c r="AX21" s="12" t="s">
        <v>255</v>
      </c>
      <c r="AY21" s="12" t="e">
        <f>IF(AND($J$3&gt;(AY26-10),$J$3&lt;=AY26),AY22*($J$3-(AY26-AY23))/AY23,IF(AND($J$3&gt;AY26,$J$3&lt;=AY27),AY22,IF(AND($J$3&gt;AY27,$J$3&lt;=(AY27+10)),AY22*((AY27-AY23)-$J$3)/AY23,0)))</f>
        <v>#DIV/0!</v>
      </c>
    </row>
    <row r="22" spans="2:52">
      <c r="B22" s="118" t="s">
        <v>11</v>
      </c>
      <c r="C22" s="119"/>
      <c r="D22" s="120"/>
      <c r="E22" s="12"/>
      <c r="F22" s="14"/>
      <c r="G22" s="118" t="s">
        <v>11</v>
      </c>
      <c r="H22" s="119"/>
      <c r="I22" s="120"/>
      <c r="J22" s="12" t="e">
        <f>E22-(L22*Z21/32)</f>
        <v>#DIV/0!</v>
      </c>
      <c r="K22" s="32">
        <v>0</v>
      </c>
      <c r="L22" s="16">
        <v>0</v>
      </c>
      <c r="M22" s="27" t="s">
        <v>238</v>
      </c>
      <c r="N22" s="54"/>
      <c r="O22" s="27" t="s">
        <v>56</v>
      </c>
      <c r="P22" s="16"/>
      <c r="Q22" s="62"/>
      <c r="R22" s="27" t="s">
        <v>238</v>
      </c>
      <c r="S22" s="54"/>
      <c r="T22" s="27" t="s">
        <v>56</v>
      </c>
      <c r="U22" s="16"/>
      <c r="V22" s="62"/>
      <c r="W22" s="27" t="s">
        <v>238</v>
      </c>
      <c r="X22" s="54"/>
      <c r="Y22" s="27" t="s">
        <v>56</v>
      </c>
      <c r="Z22" s="16"/>
      <c r="AA22" s="62"/>
      <c r="AB22" s="27" t="s">
        <v>238</v>
      </c>
      <c r="AC22" s="54"/>
      <c r="AD22" s="27" t="s">
        <v>56</v>
      </c>
      <c r="AE22" s="16"/>
      <c r="AF22" s="62"/>
      <c r="AG22" s="27" t="s">
        <v>238</v>
      </c>
      <c r="AH22" s="54"/>
      <c r="AI22" s="27" t="s">
        <v>56</v>
      </c>
      <c r="AJ22" s="16"/>
      <c r="AK22" s="62"/>
      <c r="AL22" s="27" t="s">
        <v>238</v>
      </c>
      <c r="AM22" s="54"/>
      <c r="AN22" s="27" t="s">
        <v>56</v>
      </c>
      <c r="AO22" s="16"/>
      <c r="AP22" s="62"/>
      <c r="AQ22" s="27" t="s">
        <v>238</v>
      </c>
      <c r="AR22" s="54"/>
      <c r="AS22" s="27" t="s">
        <v>56</v>
      </c>
      <c r="AT22" s="16"/>
      <c r="AU22" s="62"/>
      <c r="AV22" s="27" t="s">
        <v>238</v>
      </c>
      <c r="AW22" s="54"/>
      <c r="AX22" s="27" t="s">
        <v>56</v>
      </c>
      <c r="AY22" s="16"/>
      <c r="AZ22" s="31"/>
    </row>
    <row r="23" spans="2:52" s="13" customFormat="1">
      <c r="B23" s="118" t="s">
        <v>12</v>
      </c>
      <c r="C23" s="121"/>
      <c r="D23" s="122"/>
      <c r="E23" s="12"/>
      <c r="G23" s="118" t="s">
        <v>12</v>
      </c>
      <c r="H23" s="121"/>
      <c r="I23" s="122"/>
      <c r="J23" s="12" t="e">
        <f>E23-(L23*AE21/32)</f>
        <v>#DIV/0!</v>
      </c>
      <c r="K23" s="32">
        <v>0</v>
      </c>
      <c r="L23" s="16">
        <v>0</v>
      </c>
      <c r="M23" s="13" t="s">
        <v>239</v>
      </c>
      <c r="N23" s="50"/>
      <c r="O23" s="50" t="s">
        <v>240</v>
      </c>
      <c r="P23" s="16"/>
      <c r="Q23" s="62"/>
      <c r="R23" s="13" t="s">
        <v>239</v>
      </c>
      <c r="S23" s="50"/>
      <c r="T23" s="50" t="s">
        <v>240</v>
      </c>
      <c r="U23" s="16"/>
      <c r="V23" s="62"/>
      <c r="W23" s="13" t="s">
        <v>239</v>
      </c>
      <c r="X23" s="50"/>
      <c r="Y23" s="50" t="s">
        <v>240</v>
      </c>
      <c r="Z23" s="16"/>
      <c r="AA23" s="62"/>
      <c r="AB23" s="13" t="s">
        <v>239</v>
      </c>
      <c r="AC23" s="50"/>
      <c r="AD23" s="50" t="s">
        <v>240</v>
      </c>
      <c r="AE23" s="16"/>
      <c r="AF23" s="62"/>
      <c r="AG23" s="13" t="s">
        <v>239</v>
      </c>
      <c r="AH23" s="50"/>
      <c r="AI23" s="50" t="s">
        <v>240</v>
      </c>
      <c r="AJ23" s="16"/>
      <c r="AK23" s="62"/>
      <c r="AL23" s="13" t="s">
        <v>239</v>
      </c>
      <c r="AM23" s="50"/>
      <c r="AN23" s="50" t="s">
        <v>240</v>
      </c>
      <c r="AO23" s="16"/>
      <c r="AP23" s="62"/>
      <c r="AQ23" s="13" t="s">
        <v>239</v>
      </c>
      <c r="AR23" s="50"/>
      <c r="AS23" s="50" t="s">
        <v>240</v>
      </c>
      <c r="AT23" s="16"/>
      <c r="AU23" s="62"/>
      <c r="AV23" s="12" t="s">
        <v>239</v>
      </c>
      <c r="AW23" s="50"/>
      <c r="AX23" s="50" t="s">
        <v>240</v>
      </c>
      <c r="AY23" s="16"/>
      <c r="AZ23" s="31"/>
    </row>
    <row r="24" spans="2:52">
      <c r="B24" s="118" t="s">
        <v>13</v>
      </c>
      <c r="C24" s="119"/>
      <c r="D24" s="120"/>
      <c r="E24" s="12"/>
      <c r="G24" s="118" t="s">
        <v>13</v>
      </c>
      <c r="H24" s="119"/>
      <c r="I24" s="120"/>
      <c r="J24" s="12" t="e">
        <f>E24-(L24*AJ21/32)</f>
        <v>#DIV/0!</v>
      </c>
      <c r="K24" s="32">
        <v>0</v>
      </c>
      <c r="L24" s="16">
        <v>0</v>
      </c>
      <c r="M24" s="27" t="s">
        <v>52</v>
      </c>
      <c r="N24" s="12"/>
      <c r="O24" s="27" t="s">
        <v>54</v>
      </c>
      <c r="P24" s="12"/>
      <c r="Q24" s="30"/>
      <c r="R24" s="27" t="s">
        <v>52</v>
      </c>
      <c r="S24" s="12"/>
      <c r="T24" s="27" t="s">
        <v>54</v>
      </c>
      <c r="U24" s="12"/>
      <c r="V24" s="30"/>
      <c r="W24" s="27" t="s">
        <v>52</v>
      </c>
      <c r="X24" s="12"/>
      <c r="Y24" s="27" t="s">
        <v>54</v>
      </c>
      <c r="Z24" s="12"/>
      <c r="AA24" s="30"/>
      <c r="AB24" s="27" t="s">
        <v>52</v>
      </c>
      <c r="AC24" s="12"/>
      <c r="AD24" s="27" t="s">
        <v>54</v>
      </c>
      <c r="AE24" s="12"/>
      <c r="AF24" s="30"/>
      <c r="AG24" s="27" t="s">
        <v>52</v>
      </c>
      <c r="AH24" s="12"/>
      <c r="AI24" s="27" t="s">
        <v>54</v>
      </c>
      <c r="AJ24" s="12"/>
      <c r="AK24" s="30"/>
      <c r="AL24" s="27" t="s">
        <v>52</v>
      </c>
      <c r="AM24" s="12"/>
      <c r="AN24" s="27" t="s">
        <v>54</v>
      </c>
      <c r="AO24" s="12"/>
      <c r="AP24" s="30"/>
      <c r="AQ24" s="27" t="s">
        <v>52</v>
      </c>
      <c r="AR24" s="12"/>
      <c r="AS24" s="27" t="s">
        <v>54</v>
      </c>
      <c r="AT24" s="12"/>
      <c r="AU24" s="30"/>
      <c r="AV24" s="27" t="s">
        <v>52</v>
      </c>
      <c r="AW24" s="12"/>
      <c r="AX24" s="27" t="s">
        <v>54</v>
      </c>
      <c r="AY24" s="12"/>
    </row>
    <row r="25" spans="2:52">
      <c r="B25" s="118" t="s">
        <v>14</v>
      </c>
      <c r="C25" s="119"/>
      <c r="D25" s="120"/>
      <c r="E25" s="12"/>
      <c r="F25" s="14"/>
      <c r="G25" s="118" t="s">
        <v>14</v>
      </c>
      <c r="H25" s="119"/>
      <c r="I25" s="120"/>
      <c r="J25" s="12" t="e">
        <f>E25-(L25*AO21/32)</f>
        <v>#DIV/0!</v>
      </c>
      <c r="K25" s="32">
        <v>0</v>
      </c>
      <c r="L25" s="16">
        <v>0</v>
      </c>
      <c r="M25" s="27" t="s">
        <v>53</v>
      </c>
      <c r="N25" s="12"/>
      <c r="O25" s="27" t="s">
        <v>55</v>
      </c>
      <c r="P25" s="12"/>
      <c r="Q25" s="30"/>
      <c r="R25" s="27" t="s">
        <v>53</v>
      </c>
      <c r="S25" s="12"/>
      <c r="T25" s="27" t="s">
        <v>55</v>
      </c>
      <c r="U25" s="12"/>
      <c r="V25" s="30"/>
      <c r="W25" s="27" t="s">
        <v>53</v>
      </c>
      <c r="X25" s="12"/>
      <c r="Y25" s="27" t="s">
        <v>55</v>
      </c>
      <c r="Z25" s="12"/>
      <c r="AA25" s="30"/>
      <c r="AB25" s="27" t="s">
        <v>53</v>
      </c>
      <c r="AC25" s="12"/>
      <c r="AD25" s="27" t="s">
        <v>55</v>
      </c>
      <c r="AE25" s="12"/>
      <c r="AF25" s="30"/>
      <c r="AG25" s="27" t="s">
        <v>53</v>
      </c>
      <c r="AH25" s="12"/>
      <c r="AI25" s="27" t="s">
        <v>55</v>
      </c>
      <c r="AJ25" s="12"/>
      <c r="AK25" s="30"/>
      <c r="AL25" s="27" t="s">
        <v>53</v>
      </c>
      <c r="AM25" s="12"/>
      <c r="AN25" s="27" t="s">
        <v>55</v>
      </c>
      <c r="AO25" s="12"/>
      <c r="AP25" s="30"/>
      <c r="AQ25" s="27" t="s">
        <v>53</v>
      </c>
      <c r="AR25" s="12"/>
      <c r="AS25" s="27" t="s">
        <v>55</v>
      </c>
      <c r="AT25" s="12"/>
      <c r="AU25" s="30"/>
      <c r="AV25" s="27" t="s">
        <v>53</v>
      </c>
      <c r="AW25" s="12"/>
      <c r="AX25" s="27" t="s">
        <v>55</v>
      </c>
      <c r="AY25" s="12"/>
    </row>
    <row r="26" spans="2:52">
      <c r="B26" s="118" t="s">
        <v>15</v>
      </c>
      <c r="C26" s="119"/>
      <c r="D26" s="120"/>
      <c r="E26" s="12"/>
      <c r="F26" s="14"/>
      <c r="G26" s="118" t="s">
        <v>15</v>
      </c>
      <c r="H26" s="119"/>
      <c r="I26" s="120"/>
      <c r="J26" s="12" t="e">
        <f>E26-(L26*AT21/32)</f>
        <v>#DIV/0!</v>
      </c>
      <c r="K26" s="32">
        <v>0</v>
      </c>
      <c r="L26" s="16">
        <v>0</v>
      </c>
      <c r="M26" s="12" t="s">
        <v>57</v>
      </c>
      <c r="N26" s="12"/>
      <c r="O26" s="12" t="s">
        <v>59</v>
      </c>
      <c r="P26" s="16"/>
      <c r="Q26" s="62"/>
      <c r="R26" s="12" t="s">
        <v>57</v>
      </c>
      <c r="S26" s="12"/>
      <c r="T26" s="12" t="s">
        <v>59</v>
      </c>
      <c r="U26" s="16"/>
      <c r="V26" s="62"/>
      <c r="W26" s="12" t="s">
        <v>57</v>
      </c>
      <c r="X26" s="12"/>
      <c r="Y26" s="12" t="s">
        <v>59</v>
      </c>
      <c r="Z26" s="16"/>
      <c r="AA26" s="62"/>
      <c r="AB26" s="12" t="s">
        <v>57</v>
      </c>
      <c r="AC26" s="12"/>
      <c r="AD26" s="12" t="s">
        <v>59</v>
      </c>
      <c r="AE26" s="16"/>
      <c r="AF26" s="62"/>
      <c r="AG26" s="12" t="s">
        <v>57</v>
      </c>
      <c r="AH26" s="12"/>
      <c r="AI26" s="12" t="s">
        <v>59</v>
      </c>
      <c r="AJ26" s="16"/>
      <c r="AK26" s="62"/>
      <c r="AL26" s="12" t="s">
        <v>57</v>
      </c>
      <c r="AM26" s="12"/>
      <c r="AN26" s="12" t="s">
        <v>59</v>
      </c>
      <c r="AO26" s="16"/>
      <c r="AP26" s="62"/>
      <c r="AQ26" s="12" t="s">
        <v>57</v>
      </c>
      <c r="AR26" s="12"/>
      <c r="AS26" s="12" t="s">
        <v>59</v>
      </c>
      <c r="AT26" s="16"/>
      <c r="AU26" s="62"/>
      <c r="AV26" s="12" t="s">
        <v>57</v>
      </c>
      <c r="AW26" s="12"/>
      <c r="AX26" s="12" t="s">
        <v>59</v>
      </c>
      <c r="AY26" s="16"/>
      <c r="AZ26" s="31"/>
    </row>
    <row r="27" spans="2:52">
      <c r="B27" s="91" t="s">
        <v>47</v>
      </c>
      <c r="C27" s="117"/>
      <c r="D27" s="117"/>
      <c r="E27" s="12">
        <f>18*24-SUM(E20:E26)</f>
        <v>432</v>
      </c>
      <c r="F27" s="14"/>
      <c r="G27" s="91" t="s">
        <v>47</v>
      </c>
      <c r="H27" s="117"/>
      <c r="I27" s="117"/>
      <c r="J27" s="12">
        <f>E27</f>
        <v>432</v>
      </c>
      <c r="K27" s="28"/>
      <c r="L27" s="12">
        <f>E27</f>
        <v>432</v>
      </c>
      <c r="M27" s="12" t="s">
        <v>58</v>
      </c>
      <c r="N27" s="12"/>
      <c r="O27" s="12" t="s">
        <v>60</v>
      </c>
      <c r="P27" s="16"/>
      <c r="Q27" s="62"/>
      <c r="R27" s="12" t="s">
        <v>58</v>
      </c>
      <c r="S27" s="12"/>
      <c r="T27" s="12" t="s">
        <v>60</v>
      </c>
      <c r="U27" s="16"/>
      <c r="V27" s="62"/>
      <c r="W27" s="12" t="s">
        <v>58</v>
      </c>
      <c r="X27" s="12"/>
      <c r="Y27" s="12" t="s">
        <v>60</v>
      </c>
      <c r="Z27" s="16"/>
      <c r="AA27" s="62"/>
      <c r="AB27" s="12" t="s">
        <v>58</v>
      </c>
      <c r="AC27" s="12"/>
      <c r="AD27" s="12" t="s">
        <v>60</v>
      </c>
      <c r="AE27" s="16"/>
      <c r="AF27" s="62"/>
      <c r="AG27" s="12" t="s">
        <v>58</v>
      </c>
      <c r="AH27" s="12"/>
      <c r="AI27" s="12" t="s">
        <v>60</v>
      </c>
      <c r="AJ27" s="16"/>
      <c r="AK27" s="62"/>
      <c r="AL27" s="12" t="s">
        <v>58</v>
      </c>
      <c r="AM27" s="12"/>
      <c r="AN27" s="12" t="s">
        <v>60</v>
      </c>
      <c r="AO27" s="16"/>
      <c r="AP27" s="62"/>
      <c r="AQ27" s="12" t="s">
        <v>58</v>
      </c>
      <c r="AR27" s="12"/>
      <c r="AS27" s="12" t="s">
        <v>60</v>
      </c>
      <c r="AT27" s="16"/>
      <c r="AU27" s="62"/>
      <c r="AV27" s="12" t="s">
        <v>58</v>
      </c>
      <c r="AW27" s="12"/>
      <c r="AX27" s="12" t="s">
        <v>60</v>
      </c>
      <c r="AY27" s="16"/>
      <c r="AZ27" s="31"/>
    </row>
    <row r="28" spans="2:52">
      <c r="B28" s="14"/>
      <c r="C28" s="14"/>
      <c r="D28" s="14"/>
      <c r="E28" s="14"/>
      <c r="F28" s="14"/>
      <c r="G28" s="14"/>
      <c r="H28" s="14"/>
      <c r="I28" s="28"/>
      <c r="J28" s="28"/>
      <c r="K28" s="28"/>
      <c r="L28" s="28"/>
      <c r="N28" s="31"/>
      <c r="O28" s="66"/>
      <c r="P28" s="66"/>
      <c r="S28" s="31"/>
      <c r="T28" s="66"/>
      <c r="U28" s="66"/>
      <c r="X28" s="31"/>
      <c r="Y28" s="66"/>
      <c r="Z28" s="66"/>
      <c r="AC28" s="31"/>
      <c r="AD28" s="66"/>
      <c r="AE28" s="66"/>
      <c r="AH28" s="31"/>
      <c r="AI28" s="66"/>
      <c r="AJ28" s="66"/>
      <c r="AM28" s="31"/>
      <c r="AN28" s="66"/>
      <c r="AO28" s="66"/>
      <c r="AR28" s="31"/>
      <c r="AS28" s="66"/>
      <c r="AT28" s="66"/>
      <c r="AW28" s="31"/>
    </row>
    <row r="29" spans="2:52">
      <c r="B29" s="98" t="s">
        <v>40</v>
      </c>
      <c r="C29" s="100"/>
      <c r="D29" s="101"/>
      <c r="E29" s="21" t="s">
        <v>8</v>
      </c>
      <c r="F29" s="14"/>
      <c r="G29" s="98" t="s">
        <v>41</v>
      </c>
      <c r="H29" s="100"/>
      <c r="I29" s="101"/>
      <c r="J29" s="21" t="s">
        <v>8</v>
      </c>
      <c r="L29" s="98" t="s">
        <v>294</v>
      </c>
      <c r="M29" s="157"/>
      <c r="N29" s="157"/>
      <c r="O29" s="135"/>
      <c r="P29" s="135"/>
      <c r="Q29" s="135"/>
      <c r="R29" s="135"/>
      <c r="S29" s="135"/>
      <c r="T29" s="135"/>
      <c r="U29" s="135"/>
      <c r="V29" s="135"/>
      <c r="W29" s="135"/>
      <c r="X29" s="135"/>
      <c r="Y29" s="135"/>
      <c r="Z29" s="135"/>
      <c r="AA29" s="135"/>
      <c r="AB29" s="135"/>
      <c r="AC29" s="135"/>
      <c r="AD29" s="135"/>
      <c r="AE29" s="135"/>
      <c r="AF29" s="135"/>
      <c r="AG29" s="135"/>
      <c r="AH29" s="135"/>
      <c r="AI29" s="135"/>
      <c r="AJ29" s="135"/>
      <c r="AK29" s="135"/>
      <c r="AL29" s="135"/>
      <c r="AM29" s="135"/>
      <c r="AN29" s="135"/>
      <c r="AO29" s="135"/>
      <c r="AP29" s="135"/>
      <c r="AQ29" s="135"/>
      <c r="AR29" s="135"/>
      <c r="AS29" s="135"/>
      <c r="AT29" s="135"/>
    </row>
    <row r="30" spans="2:52">
      <c r="B30" s="91" t="s">
        <v>42</v>
      </c>
      <c r="C30" s="92"/>
      <c r="D30" s="93"/>
      <c r="E30" s="12">
        <f>IF(SUM($F$30:$F$36)=0,0,F30/SUM($F$30:$F$36)*100)</f>
        <v>0</v>
      </c>
      <c r="F30" s="31">
        <f>E39*E57*J57/1000000</f>
        <v>0</v>
      </c>
      <c r="G30" s="91" t="s">
        <v>42</v>
      </c>
      <c r="H30" s="92"/>
      <c r="I30" s="93"/>
      <c r="J30" s="12" t="e">
        <f>IF(SUM($K$30:$K$36)=0,0,K30/SUM($K$30:$K$36)*100)</f>
        <v>#DIV/0!</v>
      </c>
      <c r="K30" s="32" t="e">
        <f>J39*E57*J57/1000000</f>
        <v>#DIV/0!</v>
      </c>
      <c r="L30" s="135"/>
      <c r="M30" s="135"/>
      <c r="N30" s="135"/>
      <c r="O30" s="135"/>
      <c r="P30" s="135"/>
      <c r="Q30" s="135"/>
      <c r="R30" s="135"/>
      <c r="S30" s="135"/>
      <c r="T30" s="135"/>
      <c r="U30" s="135"/>
      <c r="V30" s="135"/>
      <c r="W30" s="135"/>
      <c r="X30" s="135"/>
      <c r="Y30" s="135"/>
      <c r="Z30" s="135"/>
      <c r="AA30" s="135"/>
      <c r="AB30" s="135"/>
      <c r="AC30" s="135"/>
      <c r="AD30" s="135"/>
      <c r="AE30" s="135"/>
      <c r="AF30" s="135"/>
      <c r="AG30" s="135"/>
      <c r="AH30" s="135"/>
      <c r="AI30" s="135"/>
      <c r="AJ30" s="135"/>
      <c r="AK30" s="135"/>
      <c r="AL30" s="135"/>
      <c r="AM30" s="135"/>
      <c r="AN30" s="135"/>
      <c r="AO30" s="135"/>
      <c r="AP30" s="135"/>
      <c r="AQ30" s="135"/>
      <c r="AR30" s="135"/>
      <c r="AS30" s="135"/>
      <c r="AT30" s="135"/>
    </row>
    <row r="31" spans="2:52">
      <c r="B31" s="91" t="s">
        <v>43</v>
      </c>
      <c r="C31" s="92"/>
      <c r="D31" s="93"/>
      <c r="E31" s="12">
        <f t="shared" ref="E31:E36" si="0">IF(SUM($F$30:$F$36)=0,0,F31/SUM($F$30:$F$36)*100)</f>
        <v>0</v>
      </c>
      <c r="F31" s="31">
        <f t="shared" ref="F31:F36" si="1">E40*E58*J58/1000000</f>
        <v>0</v>
      </c>
      <c r="G31" s="91" t="s">
        <v>43</v>
      </c>
      <c r="H31" s="92"/>
      <c r="I31" s="93"/>
      <c r="J31" s="12" t="e">
        <f t="shared" ref="J31:J36" si="2">IF(SUM($K$30:$K$36)=0,0,K31/SUM($K$30:$K$36)*100)</f>
        <v>#DIV/0!</v>
      </c>
      <c r="K31" s="32" t="e">
        <f t="shared" ref="K31:K36" si="3">J40*E58*J58/1000000</f>
        <v>#DIV/0!</v>
      </c>
      <c r="L31" s="21" t="s">
        <v>160</v>
      </c>
      <c r="M31" s="91" t="s">
        <v>63</v>
      </c>
      <c r="N31" s="94"/>
      <c r="O31" s="94"/>
      <c r="P31" s="12"/>
      <c r="Q31" s="30"/>
      <c r="R31" s="91" t="s">
        <v>76</v>
      </c>
      <c r="S31" s="94"/>
      <c r="T31" s="94"/>
      <c r="U31" s="12"/>
      <c r="V31" s="30"/>
      <c r="W31" s="91" t="s">
        <v>82</v>
      </c>
      <c r="X31" s="94"/>
      <c r="Y31" s="94"/>
      <c r="Z31" s="12"/>
      <c r="AA31" s="30"/>
      <c r="AB31" s="91" t="s">
        <v>88</v>
      </c>
      <c r="AC31" s="94"/>
      <c r="AD31" s="94"/>
      <c r="AE31" s="12"/>
      <c r="AF31" s="30"/>
      <c r="AG31" s="91" t="s">
        <v>94</v>
      </c>
      <c r="AH31" s="94"/>
      <c r="AI31" s="94"/>
      <c r="AJ31" s="12"/>
      <c r="AK31" s="30"/>
      <c r="AL31" s="91" t="s">
        <v>100</v>
      </c>
      <c r="AM31" s="94"/>
      <c r="AN31" s="94"/>
      <c r="AO31" s="12"/>
      <c r="AP31" s="30"/>
      <c r="AQ31" s="91" t="s">
        <v>106</v>
      </c>
      <c r="AR31" s="94"/>
      <c r="AS31" s="94"/>
      <c r="AT31" s="12"/>
    </row>
    <row r="32" spans="2:52">
      <c r="B32" s="91" t="s">
        <v>44</v>
      </c>
      <c r="C32" s="92"/>
      <c r="D32" s="93"/>
      <c r="E32" s="12">
        <f t="shared" si="0"/>
        <v>0</v>
      </c>
      <c r="F32" s="31">
        <f t="shared" si="1"/>
        <v>0</v>
      </c>
      <c r="G32" s="91" t="s">
        <v>44</v>
      </c>
      <c r="H32" s="92"/>
      <c r="I32" s="93"/>
      <c r="J32" s="12" t="e">
        <f t="shared" si="2"/>
        <v>#DIV/0!</v>
      </c>
      <c r="K32" s="32" t="e">
        <f t="shared" si="3"/>
        <v>#DIV/0!</v>
      </c>
      <c r="L32" s="33"/>
      <c r="M32" s="91" t="s">
        <v>67</v>
      </c>
      <c r="N32" s="94"/>
      <c r="O32" s="94"/>
      <c r="P32" s="12"/>
      <c r="Q32" s="30"/>
      <c r="R32" s="91" t="s">
        <v>77</v>
      </c>
      <c r="S32" s="94"/>
      <c r="T32" s="94"/>
      <c r="U32" s="12"/>
      <c r="V32" s="30"/>
      <c r="W32" s="91" t="s">
        <v>83</v>
      </c>
      <c r="X32" s="94"/>
      <c r="Y32" s="94"/>
      <c r="Z32" s="12"/>
      <c r="AA32" s="12"/>
      <c r="AB32" s="91" t="s">
        <v>89</v>
      </c>
      <c r="AC32" s="94"/>
      <c r="AD32" s="94"/>
      <c r="AE32" s="12"/>
      <c r="AF32" s="30"/>
      <c r="AG32" s="91" t="s">
        <v>95</v>
      </c>
      <c r="AH32" s="94"/>
      <c r="AI32" s="94"/>
      <c r="AJ32" s="12"/>
      <c r="AK32" s="30"/>
      <c r="AL32" s="91" t="s">
        <v>101</v>
      </c>
      <c r="AM32" s="94"/>
      <c r="AN32" s="94"/>
      <c r="AO32" s="12"/>
      <c r="AP32" s="30"/>
      <c r="AQ32" s="91" t="s">
        <v>107</v>
      </c>
      <c r="AR32" s="94"/>
      <c r="AS32" s="94"/>
      <c r="AT32" s="12"/>
    </row>
    <row r="33" spans="1:47">
      <c r="B33" s="91" t="s">
        <v>45</v>
      </c>
      <c r="C33" s="92"/>
      <c r="D33" s="93"/>
      <c r="E33" s="12">
        <f t="shared" si="0"/>
        <v>0</v>
      </c>
      <c r="F33" s="31">
        <f t="shared" si="1"/>
        <v>0</v>
      </c>
      <c r="G33" s="91" t="s">
        <v>45</v>
      </c>
      <c r="H33" s="92"/>
      <c r="I33" s="93"/>
      <c r="J33" s="12" t="e">
        <f t="shared" si="2"/>
        <v>#DIV/0!</v>
      </c>
      <c r="K33" s="32" t="e">
        <f t="shared" si="3"/>
        <v>#DIV/0!</v>
      </c>
      <c r="L33" s="34" t="s">
        <v>161</v>
      </c>
      <c r="M33" s="91" t="s">
        <v>72</v>
      </c>
      <c r="N33" s="94"/>
      <c r="O33" s="94"/>
      <c r="P33" s="12"/>
      <c r="Q33" s="30"/>
      <c r="R33" s="91" t="s">
        <v>78</v>
      </c>
      <c r="S33" s="94"/>
      <c r="T33" s="94"/>
      <c r="U33" s="12"/>
      <c r="V33" s="30"/>
      <c r="W33" s="91" t="s">
        <v>84</v>
      </c>
      <c r="X33" s="94"/>
      <c r="Y33" s="94"/>
      <c r="Z33" s="12"/>
      <c r="AA33" s="12"/>
      <c r="AB33" s="91" t="s">
        <v>90</v>
      </c>
      <c r="AC33" s="94"/>
      <c r="AD33" s="94"/>
      <c r="AE33" s="12"/>
      <c r="AF33" s="30"/>
      <c r="AG33" s="91" t="s">
        <v>96</v>
      </c>
      <c r="AH33" s="94"/>
      <c r="AI33" s="94"/>
      <c r="AJ33" s="12"/>
      <c r="AK33" s="30"/>
      <c r="AL33" s="91" t="s">
        <v>102</v>
      </c>
      <c r="AM33" s="94"/>
      <c r="AN33" s="94"/>
      <c r="AO33" s="12"/>
      <c r="AP33" s="30"/>
      <c r="AQ33" s="91" t="s">
        <v>108</v>
      </c>
      <c r="AR33" s="94"/>
      <c r="AS33" s="94"/>
      <c r="AT33" s="12"/>
    </row>
    <row r="34" spans="1:47">
      <c r="B34" s="91" t="s">
        <v>64</v>
      </c>
      <c r="C34" s="92"/>
      <c r="D34" s="93"/>
      <c r="E34" s="12">
        <f t="shared" si="0"/>
        <v>0</v>
      </c>
      <c r="F34" s="31">
        <f t="shared" si="1"/>
        <v>0</v>
      </c>
      <c r="G34" s="91" t="s">
        <v>64</v>
      </c>
      <c r="H34" s="92"/>
      <c r="I34" s="93"/>
      <c r="J34" s="12" t="e">
        <f t="shared" si="2"/>
        <v>#DIV/0!</v>
      </c>
      <c r="K34" s="32" t="e">
        <f t="shared" si="3"/>
        <v>#DIV/0!</v>
      </c>
      <c r="L34" s="35"/>
      <c r="M34" s="91" t="s">
        <v>73</v>
      </c>
      <c r="N34" s="94"/>
      <c r="O34" s="94"/>
      <c r="P34" s="12"/>
      <c r="Q34" s="30"/>
      <c r="R34" s="91" t="s">
        <v>79</v>
      </c>
      <c r="S34" s="94"/>
      <c r="T34" s="94"/>
      <c r="U34" s="12"/>
      <c r="V34" s="30"/>
      <c r="W34" s="91" t="s">
        <v>85</v>
      </c>
      <c r="X34" s="94"/>
      <c r="Y34" s="94"/>
      <c r="Z34" s="12"/>
      <c r="AA34" s="12"/>
      <c r="AB34" s="91" t="s">
        <v>91</v>
      </c>
      <c r="AC34" s="94"/>
      <c r="AD34" s="94"/>
      <c r="AE34" s="12"/>
      <c r="AF34" s="30"/>
      <c r="AG34" s="91" t="s">
        <v>97</v>
      </c>
      <c r="AH34" s="94"/>
      <c r="AI34" s="94"/>
      <c r="AJ34" s="12"/>
      <c r="AK34" s="30"/>
      <c r="AL34" s="91" t="s">
        <v>103</v>
      </c>
      <c r="AM34" s="94"/>
      <c r="AN34" s="94"/>
      <c r="AO34" s="12"/>
      <c r="AP34" s="30"/>
      <c r="AQ34" s="91" t="s">
        <v>109</v>
      </c>
      <c r="AR34" s="94"/>
      <c r="AS34" s="94"/>
      <c r="AT34" s="12"/>
    </row>
    <row r="35" spans="1:47">
      <c r="B35" s="91" t="s">
        <v>65</v>
      </c>
      <c r="C35" s="92"/>
      <c r="D35" s="93"/>
      <c r="E35" s="12">
        <f t="shared" si="0"/>
        <v>0</v>
      </c>
      <c r="F35" s="31">
        <f t="shared" si="1"/>
        <v>0</v>
      </c>
      <c r="G35" s="91" t="s">
        <v>65</v>
      </c>
      <c r="H35" s="92"/>
      <c r="I35" s="93"/>
      <c r="J35" s="12" t="e">
        <f t="shared" si="2"/>
        <v>#DIV/0!</v>
      </c>
      <c r="K35" s="32" t="e">
        <f t="shared" si="3"/>
        <v>#DIV/0!</v>
      </c>
      <c r="L35" s="34" t="s">
        <v>162</v>
      </c>
      <c r="M35" s="91" t="s">
        <v>74</v>
      </c>
      <c r="N35" s="94"/>
      <c r="O35" s="94"/>
      <c r="P35" s="12" t="e">
        <f>((P31*$U39)+(P33*(100-$U39)))/100</f>
        <v>#DIV/0!</v>
      </c>
      <c r="Q35" s="30"/>
      <c r="R35" s="91" t="s">
        <v>80</v>
      </c>
      <c r="S35" s="94"/>
      <c r="T35" s="94"/>
      <c r="U35" s="12" t="e">
        <f>((U31*$U40)+(U33*(100-$U40)))/100</f>
        <v>#DIV/0!</v>
      </c>
      <c r="V35" s="30"/>
      <c r="W35" s="91" t="s">
        <v>86</v>
      </c>
      <c r="X35" s="94"/>
      <c r="Y35" s="94"/>
      <c r="Z35" s="12" t="e">
        <f>((Z31*$U41)+(Z33*(100-$U41)))/100</f>
        <v>#DIV/0!</v>
      </c>
      <c r="AA35" s="12"/>
      <c r="AB35" s="91" t="s">
        <v>92</v>
      </c>
      <c r="AC35" s="94"/>
      <c r="AD35" s="94"/>
      <c r="AE35" s="12" t="e">
        <f>((AE31*$U42)+(AE33*(100-$U42)))/100</f>
        <v>#DIV/0!</v>
      </c>
      <c r="AF35" s="30"/>
      <c r="AG35" s="91" t="s">
        <v>98</v>
      </c>
      <c r="AH35" s="94"/>
      <c r="AI35" s="94"/>
      <c r="AJ35" s="12" t="e">
        <f>((AJ31*$U43)+(AJ33*(100-$U43)))/100</f>
        <v>#DIV/0!</v>
      </c>
      <c r="AK35" s="30"/>
      <c r="AL35" s="91" t="s">
        <v>104</v>
      </c>
      <c r="AM35" s="94"/>
      <c r="AN35" s="94"/>
      <c r="AO35" s="12" t="e">
        <f>((AO31*$U44)+(AO33*(100-$U44)))/100</f>
        <v>#DIV/0!</v>
      </c>
      <c r="AP35" s="30"/>
      <c r="AQ35" s="91" t="s">
        <v>110</v>
      </c>
      <c r="AR35" s="94"/>
      <c r="AS35" s="94"/>
      <c r="AT35" s="12" t="e">
        <f>((AT31*$U45)+(AT33*(100-$U45)))/100</f>
        <v>#DIV/0!</v>
      </c>
    </row>
    <row r="36" spans="1:47">
      <c r="B36" s="91" t="s">
        <v>66</v>
      </c>
      <c r="C36" s="92"/>
      <c r="D36" s="93"/>
      <c r="E36" s="12">
        <f t="shared" si="0"/>
        <v>0</v>
      </c>
      <c r="F36" s="31">
        <f t="shared" si="1"/>
        <v>0</v>
      </c>
      <c r="G36" s="91" t="s">
        <v>66</v>
      </c>
      <c r="H36" s="92"/>
      <c r="I36" s="93"/>
      <c r="J36" s="12" t="e">
        <f t="shared" si="2"/>
        <v>#DIV/0!</v>
      </c>
      <c r="K36" s="32" t="e">
        <f t="shared" si="3"/>
        <v>#DIV/0!</v>
      </c>
      <c r="L36" s="35"/>
      <c r="M36" s="91" t="s">
        <v>75</v>
      </c>
      <c r="N36" s="94"/>
      <c r="O36" s="94"/>
      <c r="P36" s="12" t="e">
        <f>((P32*$U39)+(P34*(100-$U39)))/100</f>
        <v>#DIV/0!</v>
      </c>
      <c r="Q36" s="30"/>
      <c r="R36" s="91" t="s">
        <v>81</v>
      </c>
      <c r="S36" s="94"/>
      <c r="T36" s="94"/>
      <c r="U36" s="12" t="e">
        <f>((U32*$U40)+(U34*(100-$U40)))/100</f>
        <v>#DIV/0!</v>
      </c>
      <c r="V36" s="30"/>
      <c r="W36" s="91" t="s">
        <v>87</v>
      </c>
      <c r="X36" s="94"/>
      <c r="Y36" s="94"/>
      <c r="Z36" s="12" t="e">
        <f>((Z32*$U41)+(Z34*(100-$U41)))/100</f>
        <v>#DIV/0!</v>
      </c>
      <c r="AA36" s="12"/>
      <c r="AB36" s="91" t="s">
        <v>93</v>
      </c>
      <c r="AC36" s="94"/>
      <c r="AD36" s="94"/>
      <c r="AE36" s="12" t="e">
        <f>((AE32*$U42)+(AE34*(100-$U42)))/100</f>
        <v>#DIV/0!</v>
      </c>
      <c r="AF36" s="30"/>
      <c r="AG36" s="91" t="s">
        <v>99</v>
      </c>
      <c r="AH36" s="94"/>
      <c r="AI36" s="94"/>
      <c r="AJ36" s="12" t="e">
        <f>((AJ32*$U43)+(AJ34*(100-$U43)))/100</f>
        <v>#DIV/0!</v>
      </c>
      <c r="AK36" s="30"/>
      <c r="AL36" s="91" t="s">
        <v>105</v>
      </c>
      <c r="AM36" s="94"/>
      <c r="AN36" s="94"/>
      <c r="AO36" s="12" t="e">
        <f>((AO32*$U44)+(AO34*(100-$U44)))/100</f>
        <v>#DIV/0!</v>
      </c>
      <c r="AP36" s="30"/>
      <c r="AQ36" s="91" t="s">
        <v>111</v>
      </c>
      <c r="AR36" s="94"/>
      <c r="AS36" s="94"/>
      <c r="AT36" s="12" t="e">
        <f>((AT32*$U45)+(AT34*(100-$U45)))/100</f>
        <v>#DIV/0!</v>
      </c>
    </row>
    <row r="37" spans="1:47">
      <c r="K37" s="28"/>
      <c r="L37" s="28"/>
      <c r="N37" s="28"/>
      <c r="O37" s="28"/>
      <c r="P37" s="28"/>
      <c r="U37" s="13"/>
      <c r="V37" s="13"/>
      <c r="W37" s="13"/>
      <c r="X37" s="13"/>
      <c r="Y37" s="13"/>
      <c r="Z37" s="13"/>
      <c r="AA37" s="13"/>
      <c r="AB37" s="31" t="s">
        <v>184</v>
      </c>
      <c r="AC37" s="43" t="e">
        <f>(AE44-AE43)/(AC44-AC43)</f>
        <v>#DIV/0!</v>
      </c>
      <c r="AD37" s="17" t="s">
        <v>185</v>
      </c>
      <c r="AE37" s="17" t="e">
        <f>AE43-AC43*AC37</f>
        <v>#DIV/0!</v>
      </c>
      <c r="AF37" s="31">
        <f>IF(AND(AC44&gt;AC43,AE44&gt;AE43),1,IF(AND(AC44&lt;AC43,AE44&gt;AE43),2,IF(AND(AC44&lt;AC43,AE44&lt;AE43),3,IF(AND(AC44&gt;AC43,AE44&lt;AE43),4,5))))</f>
        <v>5</v>
      </c>
      <c r="AG37" s="4" t="s">
        <v>198</v>
      </c>
      <c r="AH37" s="43">
        <f>IF(OR(AF37=1,AF37=4),AC42,AC41)</f>
        <v>0</v>
      </c>
      <c r="AI37" s="43" t="e">
        <f>AC37*AH37+AE37</f>
        <v>#DIV/0!</v>
      </c>
      <c r="AJ37" s="17" t="e">
        <f>SQRT((AH37-AC44)^2+(AI37-AE44)^2)</f>
        <v>#DIV/0!</v>
      </c>
      <c r="AL37" s="31" t="s">
        <v>184</v>
      </c>
      <c r="AM37" s="43" t="e">
        <f>(AO44-AO43)/(AM44-AM43)</f>
        <v>#DIV/0!</v>
      </c>
      <c r="AN37" s="17" t="s">
        <v>185</v>
      </c>
      <c r="AO37" s="17" t="e">
        <f>AO43-AM43*AM37</f>
        <v>#DIV/0!</v>
      </c>
      <c r="AP37" s="31">
        <f>IF(AND(AM44&gt;AM43,AO44&gt;AO43),1,IF(AND(AM44&lt;AM43,AO44&gt;AO43),2,IF(AND(AM44&lt;AM43,AO44&lt;AO43),3,IF(AND(AM44&gt;AM43,AO44&lt;AO43),4,5))))</f>
        <v>5</v>
      </c>
      <c r="AQ37" s="4" t="s">
        <v>198</v>
      </c>
      <c r="AR37" s="43">
        <f>IF(OR(AP37=1,AP37=4),AM42,AM41)</f>
        <v>0</v>
      </c>
      <c r="AS37" s="43" t="e">
        <f>AM37*AR37+AO37</f>
        <v>#DIV/0!</v>
      </c>
      <c r="AT37" s="17" t="e">
        <f>SQRT((AR37-AM44)^2+(AS37-AO44)^2)</f>
        <v>#DIV/0!</v>
      </c>
    </row>
    <row r="38" spans="1:47">
      <c r="B38" s="98" t="s">
        <v>158</v>
      </c>
      <c r="C38" s="100"/>
      <c r="D38" s="101"/>
      <c r="E38" s="21" t="s">
        <v>8</v>
      </c>
      <c r="G38" s="98" t="s">
        <v>159</v>
      </c>
      <c r="H38" s="100"/>
      <c r="I38" s="101"/>
      <c r="J38" s="21" t="s">
        <v>8</v>
      </c>
      <c r="L38" s="98" t="s">
        <v>166</v>
      </c>
      <c r="M38" s="98"/>
      <c r="N38" s="98"/>
      <c r="O38" s="98"/>
      <c r="P38" s="98"/>
      <c r="R38" s="111" t="s">
        <v>127</v>
      </c>
      <c r="S38" s="80"/>
      <c r="T38" s="81"/>
      <c r="U38" s="21" t="s">
        <v>8</v>
      </c>
      <c r="W38" s="112" t="s">
        <v>126</v>
      </c>
      <c r="X38" s="113"/>
      <c r="Y38" s="114"/>
      <c r="Z38" s="21" t="s">
        <v>8</v>
      </c>
      <c r="AB38" s="98" t="s">
        <v>183</v>
      </c>
      <c r="AC38" s="98"/>
      <c r="AD38" s="98"/>
      <c r="AE38" s="98"/>
      <c r="AF38" s="98"/>
      <c r="AG38" s="98"/>
      <c r="AH38" s="98"/>
      <c r="AI38" s="98"/>
      <c r="AJ38" s="98"/>
      <c r="AK38" s="142"/>
      <c r="AL38" s="142"/>
      <c r="AM38" s="142"/>
      <c r="AN38" s="142"/>
      <c r="AO38" s="142"/>
      <c r="AP38" s="142"/>
      <c r="AQ38" s="142"/>
      <c r="AR38" s="142"/>
      <c r="AS38" s="142"/>
      <c r="AT38" s="142"/>
    </row>
    <row r="39" spans="1:47">
      <c r="A39" s="31"/>
      <c r="B39" s="91" t="s">
        <v>16</v>
      </c>
      <c r="C39" s="92"/>
      <c r="D39" s="93"/>
      <c r="E39" s="12">
        <f>IF(SUM($F$39:$F$45)=0,0,ROUNDDOWN(F39/SUM($F$39:$F$45)*100,0))</f>
        <v>0</v>
      </c>
      <c r="F39" s="31">
        <f t="shared" ref="F39:F41" si="4">IF(E48&lt;=F48,0,IF(($L$34*(E48-$L$36)/($L$34-$L$36))&lt;0,0,$L$34*(E48-$L$36)/($L$34-$L$36)))</f>
        <v>0</v>
      </c>
      <c r="G39" s="91" t="s">
        <v>16</v>
      </c>
      <c r="H39" s="92"/>
      <c r="I39" s="93"/>
      <c r="J39" s="12" t="e">
        <f>IF(SUM($K$39:$K$45)=0,0,ROUNDDOWN(K39/SUM($K$39:$K$45)*100,0))</f>
        <v>#DIV/0!</v>
      </c>
      <c r="K39" s="4" t="e">
        <f>IF(J48&lt;=K48,0,IF(($L$34*(J48-$L$36)/($L$34-$L$36))&lt;0,0,$L$34*(J48-$L$36)/($L$34-$L$36)))</f>
        <v>#DIV/0!</v>
      </c>
      <c r="L39" s="36" t="s">
        <v>142</v>
      </c>
      <c r="M39" s="35" t="s">
        <v>143</v>
      </c>
      <c r="N39" s="37"/>
      <c r="O39" s="35" t="s">
        <v>144</v>
      </c>
      <c r="P39" s="16"/>
      <c r="Q39" s="31"/>
      <c r="R39" s="79" t="s">
        <v>119</v>
      </c>
      <c r="S39" s="80"/>
      <c r="T39" s="81"/>
      <c r="U39" s="12" t="e">
        <f>IF(AE57-P54&lt;=0,0,AE57-P54)</f>
        <v>#DIV/0!</v>
      </c>
      <c r="W39" s="91" t="s">
        <v>112</v>
      </c>
      <c r="X39" s="92"/>
      <c r="Y39" s="93"/>
      <c r="Z39" s="16"/>
      <c r="AA39" s="31"/>
      <c r="AB39" s="98"/>
      <c r="AC39" s="98"/>
      <c r="AD39" s="98"/>
      <c r="AE39" s="98"/>
      <c r="AF39" s="98"/>
      <c r="AG39" s="98"/>
      <c r="AH39" s="98"/>
      <c r="AI39" s="98"/>
      <c r="AJ39" s="98"/>
      <c r="AK39" s="142"/>
      <c r="AL39" s="142"/>
      <c r="AM39" s="142"/>
      <c r="AN39" s="142"/>
      <c r="AO39" s="142"/>
      <c r="AP39" s="142"/>
      <c r="AQ39" s="142"/>
      <c r="AR39" s="142"/>
      <c r="AS39" s="142"/>
      <c r="AT39" s="142"/>
    </row>
    <row r="40" spans="1:47">
      <c r="A40" s="31"/>
      <c r="B40" s="91" t="s">
        <v>17</v>
      </c>
      <c r="C40" s="92"/>
      <c r="D40" s="93"/>
      <c r="E40" s="12">
        <f t="shared" ref="E40:E45" si="5">IF(SUM($F$39:$F$45)=0,0,ROUNDDOWN(F40/SUM($F$39:$F$45)*100,0))</f>
        <v>0</v>
      </c>
      <c r="F40" s="31">
        <f t="shared" si="4"/>
        <v>0</v>
      </c>
      <c r="G40" s="91" t="s">
        <v>17</v>
      </c>
      <c r="H40" s="92"/>
      <c r="I40" s="93"/>
      <c r="J40" s="12" t="e">
        <f t="shared" ref="J40:J45" si="6">IF(SUM($K$39:$K$45)=0,0,ROUNDDOWN(K40/SUM($K$39:$K$45)*100,0))</f>
        <v>#DIV/0!</v>
      </c>
      <c r="K40" s="4" t="e">
        <f t="shared" ref="K40:K45" si="7">IF(J49&lt;=K49,0,IF(($L$34*(J49-$L$36)/($L$34-$L$36))&lt;0,0,$L$34*(J49-$L$36)/($L$34-$L$36)))</f>
        <v>#DIV/0!</v>
      </c>
      <c r="L40" s="36" t="s">
        <v>145</v>
      </c>
      <c r="M40" s="35" t="s">
        <v>143</v>
      </c>
      <c r="N40" s="37"/>
      <c r="O40" s="35" t="s">
        <v>144</v>
      </c>
      <c r="P40" s="16"/>
      <c r="Q40" s="31"/>
      <c r="R40" s="79" t="s">
        <v>120</v>
      </c>
      <c r="S40" s="80"/>
      <c r="T40" s="81"/>
      <c r="U40" s="12" t="e">
        <f>IF(AE58-U54&lt;=0,0,AE58-U54)</f>
        <v>#DIV/0!</v>
      </c>
      <c r="W40" s="91" t="s">
        <v>113</v>
      </c>
      <c r="X40" s="92"/>
      <c r="Y40" s="93"/>
      <c r="Z40" s="16"/>
      <c r="AA40" s="31"/>
      <c r="AB40" s="140" t="s">
        <v>146</v>
      </c>
      <c r="AC40" s="141"/>
      <c r="AD40" s="48" t="s">
        <v>188</v>
      </c>
      <c r="AE40" s="49"/>
      <c r="AF40" s="62"/>
      <c r="AG40" s="12" t="s">
        <v>59</v>
      </c>
      <c r="AH40" s="16"/>
      <c r="AI40" s="12" t="s">
        <v>60</v>
      </c>
      <c r="AJ40" s="16"/>
      <c r="AK40" s="69"/>
      <c r="AL40" s="140" t="s">
        <v>147</v>
      </c>
      <c r="AM40" s="141"/>
      <c r="AN40" s="48" t="s">
        <v>188</v>
      </c>
      <c r="AO40" s="49"/>
      <c r="AP40" s="62"/>
      <c r="AQ40" s="12" t="s">
        <v>59</v>
      </c>
      <c r="AR40" s="16"/>
      <c r="AS40" s="12" t="s">
        <v>60</v>
      </c>
      <c r="AT40" s="16"/>
      <c r="AU40" s="31"/>
    </row>
    <row r="41" spans="1:47">
      <c r="A41" s="31"/>
      <c r="B41" s="91" t="s">
        <v>18</v>
      </c>
      <c r="C41" s="92"/>
      <c r="D41" s="93"/>
      <c r="E41" s="12">
        <f t="shared" si="5"/>
        <v>0</v>
      </c>
      <c r="F41" s="31">
        <f t="shared" si="4"/>
        <v>0</v>
      </c>
      <c r="G41" s="91" t="s">
        <v>18</v>
      </c>
      <c r="H41" s="92"/>
      <c r="I41" s="93"/>
      <c r="J41" s="12" t="e">
        <f t="shared" si="6"/>
        <v>#DIV/0!</v>
      </c>
      <c r="K41" s="4" t="e">
        <f t="shared" si="7"/>
        <v>#DIV/0!</v>
      </c>
      <c r="L41" s="36" t="s">
        <v>146</v>
      </c>
      <c r="M41" s="35" t="s">
        <v>143</v>
      </c>
      <c r="N41" s="37"/>
      <c r="O41" s="35" t="s">
        <v>144</v>
      </c>
      <c r="P41" s="16"/>
      <c r="Q41" s="31"/>
      <c r="R41" s="79" t="s">
        <v>121</v>
      </c>
      <c r="S41" s="80"/>
      <c r="T41" s="81"/>
      <c r="U41" s="12" t="e">
        <f>IF(AJ45=0,IF(AE59-Z54&lt;=0,0,AE59-Z54),IF(AJ45-Z54&lt;=0,0,AJ45-Z54))</f>
        <v>#DIV/0!</v>
      </c>
      <c r="W41" s="91" t="s">
        <v>114</v>
      </c>
      <c r="X41" s="92"/>
      <c r="Y41" s="93"/>
      <c r="Z41" s="16"/>
      <c r="AA41" s="61"/>
      <c r="AB41" s="12" t="s">
        <v>186</v>
      </c>
      <c r="AC41" s="8"/>
      <c r="AD41" s="8" t="s">
        <v>187</v>
      </c>
      <c r="AE41" s="12"/>
      <c r="AF41" s="64"/>
      <c r="AG41" s="154" t="s">
        <v>197</v>
      </c>
      <c r="AH41" s="155"/>
      <c r="AI41" s="156"/>
      <c r="AJ41" s="44" t="e">
        <f>SQRT((AC45-AC44)^2+(AE45-AE44)^2)/SQRT((AC45-AC43)^2+(AE45-AE43)^2)</f>
        <v>#DIV/0!</v>
      </c>
      <c r="AK41" s="70"/>
      <c r="AL41" s="12" t="s">
        <v>186</v>
      </c>
      <c r="AM41" s="8"/>
      <c r="AN41" s="8" t="s">
        <v>187</v>
      </c>
      <c r="AO41" s="12"/>
      <c r="AP41" s="64"/>
      <c r="AQ41" s="154" t="s">
        <v>197</v>
      </c>
      <c r="AR41" s="155"/>
      <c r="AS41" s="156"/>
      <c r="AT41" s="44" t="e">
        <f>SQRT((AM45-AM44)^2+(AO45-AO44)^2)/SQRT((AM45-AM43)^2+(AO45-AO43)^2)</f>
        <v>#DIV/0!</v>
      </c>
      <c r="AU41" s="31"/>
    </row>
    <row r="42" spans="1:47">
      <c r="A42" s="31"/>
      <c r="B42" s="91" t="s">
        <v>19</v>
      </c>
      <c r="C42" s="92"/>
      <c r="D42" s="93"/>
      <c r="E42" s="12">
        <f t="shared" si="5"/>
        <v>0</v>
      </c>
      <c r="F42" s="31">
        <f>IF(E51&lt;=F51,0,IF(($L$34*(E51-$L$36)/($L$34-$L$36))&lt;0,0,$L$34*(E51-$L$36)/($L$34-$L$36)))</f>
        <v>0</v>
      </c>
      <c r="G42" s="91" t="s">
        <v>19</v>
      </c>
      <c r="H42" s="92"/>
      <c r="I42" s="93"/>
      <c r="J42" s="12" t="e">
        <f t="shared" si="6"/>
        <v>#DIV/0!</v>
      </c>
      <c r="K42" s="4" t="e">
        <f t="shared" si="7"/>
        <v>#DIV/0!</v>
      </c>
      <c r="L42" s="36" t="s">
        <v>147</v>
      </c>
      <c r="M42" s="35" t="s">
        <v>143</v>
      </c>
      <c r="N42" s="37"/>
      <c r="O42" s="35" t="s">
        <v>144</v>
      </c>
      <c r="P42" s="16"/>
      <c r="Q42" s="31"/>
      <c r="R42" s="79" t="s">
        <v>122</v>
      </c>
      <c r="S42" s="80"/>
      <c r="T42" s="81"/>
      <c r="U42" s="12" t="e">
        <f>IF(AT45=0,IF(AE60-AE54&lt;=0,0,AE60-AE54),IF(AT45-AE54&lt;=0,0,AT45-AE54))</f>
        <v>#DIV/0!</v>
      </c>
      <c r="W42" s="91" t="s">
        <v>115</v>
      </c>
      <c r="X42" s="92"/>
      <c r="Y42" s="93"/>
      <c r="Z42" s="16"/>
      <c r="AA42" s="31"/>
      <c r="AB42" s="33" t="s">
        <v>191</v>
      </c>
      <c r="AC42" s="33"/>
      <c r="AD42" s="33" t="s">
        <v>192</v>
      </c>
      <c r="AE42" s="33"/>
      <c r="AF42" s="63"/>
      <c r="AG42" s="12" t="s">
        <v>206</v>
      </c>
      <c r="AH42" s="12">
        <f>E22</f>
        <v>0</v>
      </c>
      <c r="AI42" s="12" t="s">
        <v>207</v>
      </c>
      <c r="AJ42" s="16"/>
      <c r="AK42" s="71"/>
      <c r="AL42" s="33" t="s">
        <v>191</v>
      </c>
      <c r="AM42" s="33"/>
      <c r="AN42" s="33" t="s">
        <v>192</v>
      </c>
      <c r="AO42" s="33"/>
      <c r="AP42" s="63"/>
      <c r="AQ42" s="12" t="s">
        <v>206</v>
      </c>
      <c r="AR42" s="12">
        <f>E23</f>
        <v>0</v>
      </c>
      <c r="AS42" s="12" t="s">
        <v>207</v>
      </c>
      <c r="AT42" s="16"/>
      <c r="AU42" s="31"/>
    </row>
    <row r="43" spans="1:47">
      <c r="A43" s="31"/>
      <c r="B43" s="91" t="s">
        <v>20</v>
      </c>
      <c r="C43" s="92"/>
      <c r="D43" s="93"/>
      <c r="E43" s="12">
        <f t="shared" si="5"/>
        <v>0</v>
      </c>
      <c r="F43" s="31">
        <f t="shared" ref="F43:F45" si="8">IF(E52&lt;=F52,0,IF(($L$34*(E52-$L$36)/($L$34-$L$36))&lt;0,0,$L$34*(E52-$L$36)/($L$34-$L$36)))</f>
        <v>0</v>
      </c>
      <c r="G43" s="91" t="s">
        <v>20</v>
      </c>
      <c r="H43" s="92"/>
      <c r="I43" s="93"/>
      <c r="J43" s="12" t="e">
        <f t="shared" si="6"/>
        <v>#DIV/0!</v>
      </c>
      <c r="K43" s="4" t="e">
        <f t="shared" si="7"/>
        <v>#DIV/0!</v>
      </c>
      <c r="L43" s="36" t="s">
        <v>148</v>
      </c>
      <c r="M43" s="35" t="s">
        <v>143</v>
      </c>
      <c r="N43" s="37"/>
      <c r="O43" s="35" t="s">
        <v>144</v>
      </c>
      <c r="P43" s="16"/>
      <c r="Q43" s="31"/>
      <c r="R43" s="99" t="s">
        <v>123</v>
      </c>
      <c r="S43" s="80"/>
      <c r="T43" s="81"/>
      <c r="U43" s="12" t="e">
        <f>IF(AE61-AJ54&lt;=0,0,AE61-AJ54)</f>
        <v>#DIV/0!</v>
      </c>
      <c r="W43" s="91" t="s">
        <v>116</v>
      </c>
      <c r="X43" s="92"/>
      <c r="Y43" s="93"/>
      <c r="Z43" s="16"/>
      <c r="AA43" s="31"/>
      <c r="AB43" s="12" t="s">
        <v>189</v>
      </c>
      <c r="AC43" s="16"/>
      <c r="AD43" s="12" t="s">
        <v>190</v>
      </c>
      <c r="AE43" s="16"/>
      <c r="AF43" s="62"/>
      <c r="AG43" s="45" t="s">
        <v>200</v>
      </c>
      <c r="AH43" s="46">
        <f>AE59*AE40/256</f>
        <v>0</v>
      </c>
      <c r="AI43" s="47" t="s">
        <v>203</v>
      </c>
      <c r="AJ43" s="42" t="e">
        <f>AJ41*AH43+(1-AJ41)*AE59</f>
        <v>#DIV/0!</v>
      </c>
      <c r="AK43" s="69"/>
      <c r="AL43" s="12" t="s">
        <v>189</v>
      </c>
      <c r="AM43" s="16"/>
      <c r="AN43" s="12" t="s">
        <v>190</v>
      </c>
      <c r="AO43" s="16"/>
      <c r="AP43" s="62"/>
      <c r="AQ43" s="45" t="s">
        <v>200</v>
      </c>
      <c r="AR43" s="46">
        <f>AE60*AO40/256</f>
        <v>0</v>
      </c>
      <c r="AS43" s="47" t="s">
        <v>203</v>
      </c>
      <c r="AT43" s="42" t="e">
        <f>AT41*AR43+(1-AT41)*AE60</f>
        <v>#DIV/0!</v>
      </c>
      <c r="AU43" s="31"/>
    </row>
    <row r="44" spans="1:47">
      <c r="A44" s="31"/>
      <c r="B44" s="91" t="s">
        <v>21</v>
      </c>
      <c r="C44" s="92"/>
      <c r="D44" s="93"/>
      <c r="E44" s="12">
        <f t="shared" si="5"/>
        <v>0</v>
      </c>
      <c r="F44" s="31">
        <f t="shared" si="8"/>
        <v>0</v>
      </c>
      <c r="G44" s="91" t="s">
        <v>21</v>
      </c>
      <c r="H44" s="92"/>
      <c r="I44" s="93"/>
      <c r="J44" s="12" t="e">
        <f t="shared" si="6"/>
        <v>#DIV/0!</v>
      </c>
      <c r="K44" s="4" t="e">
        <f t="shared" si="7"/>
        <v>#DIV/0!</v>
      </c>
      <c r="L44" s="36" t="s">
        <v>149</v>
      </c>
      <c r="M44" s="35" t="s">
        <v>143</v>
      </c>
      <c r="N44" s="37"/>
      <c r="O44" s="35" t="s">
        <v>144</v>
      </c>
      <c r="P44" s="16"/>
      <c r="Q44" s="31"/>
      <c r="R44" s="99" t="s">
        <v>124</v>
      </c>
      <c r="S44" s="80"/>
      <c r="T44" s="81"/>
      <c r="U44" s="12" t="e">
        <f>IF(AE62-AO54&lt;=0,0,AE62-AO54)</f>
        <v>#DIV/0!</v>
      </c>
      <c r="W44" s="91" t="s">
        <v>117</v>
      </c>
      <c r="X44" s="92"/>
      <c r="Y44" s="93"/>
      <c r="Z44" s="16"/>
      <c r="AA44" s="31"/>
      <c r="AB44" s="12" t="s">
        <v>195</v>
      </c>
      <c r="AC44" s="12">
        <v>0</v>
      </c>
      <c r="AD44" s="12" t="s">
        <v>196</v>
      </c>
      <c r="AE44" s="12">
        <v>0</v>
      </c>
      <c r="AF44" s="62"/>
      <c r="AG44" s="12" t="s">
        <v>201</v>
      </c>
      <c r="AH44" s="12" t="e">
        <f>AJ43</f>
        <v>#DIV/0!</v>
      </c>
      <c r="AI44" s="41" t="s">
        <v>204</v>
      </c>
      <c r="AJ44" s="12">
        <f>IF(AH42=0,0,ABS(((AE59-AH44)*AJ42/AH42)-AE59))</f>
        <v>0</v>
      </c>
      <c r="AK44" s="69"/>
      <c r="AL44" s="12" t="s">
        <v>195</v>
      </c>
      <c r="AM44" s="12">
        <v>0</v>
      </c>
      <c r="AN44" s="12" t="s">
        <v>196</v>
      </c>
      <c r="AO44" s="12">
        <v>0</v>
      </c>
      <c r="AP44" s="62"/>
      <c r="AQ44" s="12" t="s">
        <v>201</v>
      </c>
      <c r="AR44" s="12" t="e">
        <f>AT43</f>
        <v>#DIV/0!</v>
      </c>
      <c r="AS44" s="41" t="s">
        <v>204</v>
      </c>
      <c r="AT44" s="12">
        <f>IF(AR42=0,0,ABS(((AE60-AR44)*AT42/AR42)-AE60))</f>
        <v>0</v>
      </c>
    </row>
    <row r="45" spans="1:47">
      <c r="A45" s="31"/>
      <c r="B45" s="91" t="s">
        <v>22</v>
      </c>
      <c r="C45" s="92"/>
      <c r="D45" s="93"/>
      <c r="E45" s="12">
        <f t="shared" si="5"/>
        <v>0</v>
      </c>
      <c r="F45" s="31">
        <f t="shared" si="8"/>
        <v>0</v>
      </c>
      <c r="G45" s="91" t="s">
        <v>22</v>
      </c>
      <c r="H45" s="92"/>
      <c r="I45" s="93"/>
      <c r="J45" s="12" t="e">
        <f t="shared" si="6"/>
        <v>#DIV/0!</v>
      </c>
      <c r="K45" s="4" t="e">
        <f t="shared" si="7"/>
        <v>#DIV/0!</v>
      </c>
      <c r="L45" s="36" t="s">
        <v>150</v>
      </c>
      <c r="M45" s="35" t="s">
        <v>143</v>
      </c>
      <c r="N45" s="37"/>
      <c r="O45" s="35" t="s">
        <v>144</v>
      </c>
      <c r="P45" s="16"/>
      <c r="Q45" s="31"/>
      <c r="R45" s="99" t="s">
        <v>125</v>
      </c>
      <c r="S45" s="80"/>
      <c r="T45" s="81"/>
      <c r="U45" s="12" t="e">
        <f>IF(AE63-AT54&lt;=0,0,AE63-AT54)</f>
        <v>#DIV/0!</v>
      </c>
      <c r="W45" s="91" t="s">
        <v>118</v>
      </c>
      <c r="X45" s="92"/>
      <c r="Y45" s="93"/>
      <c r="Z45" s="16"/>
      <c r="AA45" s="31"/>
      <c r="AB45" s="22" t="s">
        <v>193</v>
      </c>
      <c r="AC45" s="12">
        <f>IF(AND(AC44=0,AE44=0),0,IF(AJ37&lt;AJ46,AH37,AH46))</f>
        <v>0</v>
      </c>
      <c r="AD45" s="22" t="s">
        <v>194</v>
      </c>
      <c r="AE45" s="12">
        <f>IF(AND(AC44=0,AE44=0),0,IF(AJ37&lt;AJ46,AI37,AI46))</f>
        <v>0</v>
      </c>
      <c r="AF45" s="62"/>
      <c r="AG45" s="12" t="s">
        <v>202</v>
      </c>
      <c r="AH45" s="12">
        <f>AJ44</f>
        <v>0</v>
      </c>
      <c r="AI45" s="41" t="s">
        <v>205</v>
      </c>
      <c r="AJ45" s="12">
        <f>IF(J3&gt;=AJ40,AH45,IF(J3&lt;=AH40,AE59,AH45+((AE59-AH45)*(AJ40-J3)/(AJ40-AH40))))</f>
        <v>0</v>
      </c>
      <c r="AK45" s="69"/>
      <c r="AL45" s="22" t="s">
        <v>193</v>
      </c>
      <c r="AM45" s="12">
        <f>IF(AND(AM44=0,AO44=0),0,IF(AT37&lt;AT46,AR37,AR46))</f>
        <v>0</v>
      </c>
      <c r="AN45" s="22" t="s">
        <v>194</v>
      </c>
      <c r="AO45" s="12">
        <f>IF(AND(AM44=0,AO44=0),0,IF(AT37&lt;AT46,AS37,AS46))</f>
        <v>0</v>
      </c>
      <c r="AP45" s="62"/>
      <c r="AQ45" s="12" t="s">
        <v>202</v>
      </c>
      <c r="AR45" s="12">
        <f>AT44</f>
        <v>0</v>
      </c>
      <c r="AS45" s="41" t="s">
        <v>205</v>
      </c>
      <c r="AT45" s="12">
        <f>IF(J3&gt;=AT40,AR45,IF(J3&lt;=AR40,AE60,AR45+((AE60-AR45)*(AT40-J3)/(AT40-AR40))))</f>
        <v>0</v>
      </c>
    </row>
    <row r="46" spans="1:47">
      <c r="L46" s="38"/>
      <c r="M46" s="38"/>
      <c r="N46" s="38"/>
      <c r="O46" s="38"/>
      <c r="AC46" s="66"/>
      <c r="AG46" s="31" t="s">
        <v>199</v>
      </c>
      <c r="AH46" s="17" t="e">
        <f>(AI46-AE37)/AC37</f>
        <v>#DIV/0!</v>
      </c>
      <c r="AI46" s="17">
        <f>IF(OR(AF37=1,AF37=2),AE41,AE42)</f>
        <v>0</v>
      </c>
      <c r="AJ46" s="17" t="e">
        <f>SQRT((AH46-AC44)^2+(AI46-AE44)^2)</f>
        <v>#DIV/0!</v>
      </c>
      <c r="AM46" s="66"/>
      <c r="AQ46" s="31" t="s">
        <v>199</v>
      </c>
      <c r="AR46" s="17" t="e">
        <f>(AS46-AO37)/AM37</f>
        <v>#DIV/0!</v>
      </c>
      <c r="AS46" s="17">
        <f>IF(OR(AP37=1,AP37=2),AO41,AO42)</f>
        <v>0</v>
      </c>
      <c r="AT46" s="17" t="e">
        <f>SQRT((AR46-AM44)^2+(AS46-AO44)^2)</f>
        <v>#DIV/0!</v>
      </c>
    </row>
    <row r="47" spans="1:47">
      <c r="B47" s="98" t="s">
        <v>39</v>
      </c>
      <c r="C47" s="100"/>
      <c r="D47" s="101"/>
      <c r="E47" s="21" t="s">
        <v>8</v>
      </c>
      <c r="F47" s="31">
        <f>18*24*L32/100</f>
        <v>0</v>
      </c>
      <c r="G47" s="98" t="s">
        <v>23</v>
      </c>
      <c r="H47" s="100"/>
      <c r="I47" s="101"/>
      <c r="J47" s="21" t="s">
        <v>8</v>
      </c>
      <c r="K47" s="31">
        <f>18*24*L32/100</f>
        <v>0</v>
      </c>
      <c r="L47" s="98" t="s">
        <v>167</v>
      </c>
      <c r="M47" s="98"/>
      <c r="N47" s="98"/>
      <c r="O47" s="98"/>
      <c r="P47" s="98"/>
      <c r="Q47" s="98"/>
      <c r="R47" s="98"/>
      <c r="S47" s="98"/>
      <c r="T47" s="98"/>
      <c r="U47" s="98"/>
      <c r="V47" s="98"/>
      <c r="W47" s="98"/>
      <c r="X47" s="98"/>
      <c r="Y47" s="98"/>
      <c r="Z47" s="98"/>
      <c r="AA47" s="98"/>
      <c r="AB47" s="98"/>
      <c r="AC47" s="98"/>
      <c r="AD47" s="98"/>
      <c r="AE47" s="98"/>
      <c r="AF47" s="98"/>
      <c r="AG47" s="98"/>
      <c r="AH47" s="98"/>
      <c r="AI47" s="98"/>
      <c r="AJ47" s="98"/>
      <c r="AK47" s="98"/>
      <c r="AL47" s="98"/>
      <c r="AM47" s="98"/>
      <c r="AN47" s="98"/>
      <c r="AO47" s="98"/>
      <c r="AP47" s="98"/>
      <c r="AQ47" s="98"/>
      <c r="AR47" s="98"/>
      <c r="AS47" s="98"/>
      <c r="AT47" s="98"/>
    </row>
    <row r="48" spans="1:47">
      <c r="B48" s="91" t="s">
        <v>16</v>
      </c>
      <c r="C48" s="92"/>
      <c r="D48" s="93"/>
      <c r="E48" s="12">
        <f>IF(SUM($E$20:$E$26)=0,0,E20/SUM($E$20:$E$26)*100)</f>
        <v>0</v>
      </c>
      <c r="F48" s="17">
        <f t="shared" ref="F48:F54" si="9">IF(E20&lt;$F$47,$L$36*E20/$F$47,$L$36)</f>
        <v>0</v>
      </c>
      <c r="G48" s="91" t="s">
        <v>16</v>
      </c>
      <c r="H48" s="92"/>
      <c r="I48" s="93"/>
      <c r="J48" s="12" t="e">
        <f>IF(SUM($J$20:$J$26)=0,0,J20/SUM($J$20:$J$26)*100)</f>
        <v>#DIV/0!</v>
      </c>
      <c r="K48" s="17" t="e">
        <f t="shared" ref="K48:K54" si="10">IF(J20&lt;$K$47,$L$36*J20/$K$47,$L$36)</f>
        <v>#DIV/0!</v>
      </c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98"/>
      <c r="AA48" s="98"/>
      <c r="AB48" s="98"/>
      <c r="AC48" s="98"/>
      <c r="AD48" s="98"/>
      <c r="AE48" s="98"/>
      <c r="AF48" s="98"/>
      <c r="AG48" s="98"/>
      <c r="AH48" s="98"/>
      <c r="AI48" s="98"/>
      <c r="AJ48" s="98"/>
      <c r="AK48" s="98"/>
      <c r="AL48" s="98"/>
      <c r="AM48" s="98"/>
      <c r="AN48" s="98"/>
      <c r="AO48" s="98"/>
      <c r="AP48" s="98"/>
      <c r="AQ48" s="98"/>
      <c r="AR48" s="98"/>
      <c r="AS48" s="98"/>
      <c r="AT48" s="98"/>
    </row>
    <row r="49" spans="1:47">
      <c r="B49" s="91" t="s">
        <v>17</v>
      </c>
      <c r="C49" s="92"/>
      <c r="D49" s="93"/>
      <c r="E49" s="12">
        <f t="shared" ref="E49:E54" si="11">IF(SUM($E$20:$E$26)=0,0,E21/SUM($E$20:$E$26)*100)</f>
        <v>0</v>
      </c>
      <c r="F49" s="17">
        <f t="shared" si="9"/>
        <v>0</v>
      </c>
      <c r="G49" s="91" t="s">
        <v>17</v>
      </c>
      <c r="H49" s="92"/>
      <c r="I49" s="93"/>
      <c r="J49" s="12" t="e">
        <f>IF(SUM($J$20:$J$26)=0,0,J21/SUM($J$20:$J$26)*100)</f>
        <v>#DIV/0!</v>
      </c>
      <c r="K49" s="17" t="e">
        <f t="shared" si="10"/>
        <v>#DIV/0!</v>
      </c>
      <c r="L49" s="98" t="s">
        <v>60</v>
      </c>
      <c r="M49" s="97" t="s">
        <v>168</v>
      </c>
      <c r="N49" s="97"/>
      <c r="O49" s="97"/>
      <c r="P49" s="12"/>
      <c r="Q49" s="12"/>
      <c r="R49" s="97" t="s">
        <v>168</v>
      </c>
      <c r="S49" s="97"/>
      <c r="T49" s="97"/>
      <c r="U49" s="12"/>
      <c r="V49" s="12"/>
      <c r="W49" s="97" t="s">
        <v>168</v>
      </c>
      <c r="X49" s="97"/>
      <c r="Y49" s="97"/>
      <c r="Z49" s="12"/>
      <c r="AA49" s="12"/>
      <c r="AB49" s="97" t="s">
        <v>168</v>
      </c>
      <c r="AC49" s="97"/>
      <c r="AD49" s="97"/>
      <c r="AE49" s="12"/>
      <c r="AF49" s="12"/>
      <c r="AG49" s="97" t="s">
        <v>168</v>
      </c>
      <c r="AH49" s="97"/>
      <c r="AI49" s="97"/>
      <c r="AJ49" s="12"/>
      <c r="AK49" s="12"/>
      <c r="AL49" s="97" t="s">
        <v>168</v>
      </c>
      <c r="AM49" s="97"/>
      <c r="AN49" s="97"/>
      <c r="AO49" s="12"/>
      <c r="AP49" s="12"/>
      <c r="AQ49" s="97" t="s">
        <v>168</v>
      </c>
      <c r="AR49" s="97"/>
      <c r="AS49" s="97"/>
      <c r="AT49" s="12"/>
    </row>
    <row r="50" spans="1:47">
      <c r="B50" s="91" t="s">
        <v>18</v>
      </c>
      <c r="C50" s="92"/>
      <c r="D50" s="93"/>
      <c r="E50" s="12">
        <f t="shared" si="11"/>
        <v>0</v>
      </c>
      <c r="F50" s="17">
        <f t="shared" si="9"/>
        <v>0</v>
      </c>
      <c r="G50" s="91" t="s">
        <v>18</v>
      </c>
      <c r="H50" s="92"/>
      <c r="I50" s="93"/>
      <c r="J50" s="12" t="e">
        <f t="shared" ref="J50:J54" si="12">IF(SUM($J$20:$J$26)=0,0,J22/SUM($J$20:$J$26)*100)</f>
        <v>#DIV/0!</v>
      </c>
      <c r="K50" s="17" t="e">
        <f t="shared" si="10"/>
        <v>#DIV/0!</v>
      </c>
      <c r="L50" s="98"/>
      <c r="M50" s="95" t="s">
        <v>169</v>
      </c>
      <c r="N50" s="95"/>
      <c r="O50" s="95"/>
      <c r="P50" s="12"/>
      <c r="Q50" s="12"/>
      <c r="R50" s="95" t="s">
        <v>176</v>
      </c>
      <c r="S50" s="95"/>
      <c r="T50" s="95"/>
      <c r="U50" s="12"/>
      <c r="V50" s="12"/>
      <c r="W50" s="95" t="s">
        <v>178</v>
      </c>
      <c r="X50" s="95"/>
      <c r="Y50" s="95"/>
      <c r="Z50" s="12"/>
      <c r="AA50" s="12"/>
      <c r="AB50" s="95" t="s">
        <v>179</v>
      </c>
      <c r="AC50" s="95"/>
      <c r="AD50" s="95"/>
      <c r="AE50" s="12"/>
      <c r="AF50" s="12"/>
      <c r="AG50" s="95" t="s">
        <v>180</v>
      </c>
      <c r="AH50" s="95"/>
      <c r="AI50" s="95"/>
      <c r="AJ50" s="12"/>
      <c r="AK50" s="12"/>
      <c r="AL50" s="95" t="s">
        <v>181</v>
      </c>
      <c r="AM50" s="95"/>
      <c r="AN50" s="95"/>
      <c r="AO50" s="12"/>
      <c r="AP50" s="12"/>
      <c r="AQ50" s="95" t="s">
        <v>182</v>
      </c>
      <c r="AR50" s="95"/>
      <c r="AS50" s="95"/>
      <c r="AT50" s="12"/>
    </row>
    <row r="51" spans="1:47">
      <c r="B51" s="91" t="s">
        <v>19</v>
      </c>
      <c r="C51" s="92"/>
      <c r="D51" s="93"/>
      <c r="E51" s="12">
        <f t="shared" si="11"/>
        <v>0</v>
      </c>
      <c r="F51" s="17">
        <f t="shared" si="9"/>
        <v>0</v>
      </c>
      <c r="G51" s="91" t="s">
        <v>19</v>
      </c>
      <c r="H51" s="92"/>
      <c r="I51" s="93"/>
      <c r="J51" s="12" t="e">
        <f t="shared" si="12"/>
        <v>#DIV/0!</v>
      </c>
      <c r="K51" s="17" t="e">
        <f t="shared" si="10"/>
        <v>#DIV/0!</v>
      </c>
      <c r="L51" s="12"/>
      <c r="M51" s="40" t="s">
        <v>172</v>
      </c>
      <c r="N51" s="8"/>
      <c r="O51" s="8" t="s">
        <v>177</v>
      </c>
      <c r="P51" s="16"/>
      <c r="Q51" s="62"/>
      <c r="R51" s="40" t="s">
        <v>172</v>
      </c>
      <c r="S51" s="8"/>
      <c r="T51" s="8" t="s">
        <v>177</v>
      </c>
      <c r="U51" s="16"/>
      <c r="V51" s="62"/>
      <c r="W51" s="40" t="s">
        <v>172</v>
      </c>
      <c r="X51" s="8"/>
      <c r="Y51" s="8" t="s">
        <v>170</v>
      </c>
      <c r="Z51" s="16"/>
      <c r="AA51" s="62"/>
      <c r="AB51" s="40" t="s">
        <v>172</v>
      </c>
      <c r="AC51" s="8"/>
      <c r="AD51" s="8" t="s">
        <v>170</v>
      </c>
      <c r="AE51" s="16"/>
      <c r="AF51" s="62"/>
      <c r="AG51" s="40" t="s">
        <v>172</v>
      </c>
      <c r="AH51" s="8"/>
      <c r="AI51" s="8" t="s">
        <v>170</v>
      </c>
      <c r="AJ51" s="16"/>
      <c r="AK51" s="62"/>
      <c r="AL51" s="40" t="s">
        <v>172</v>
      </c>
      <c r="AM51" s="8"/>
      <c r="AN51" s="8" t="s">
        <v>170</v>
      </c>
      <c r="AO51" s="16"/>
      <c r="AP51" s="62"/>
      <c r="AQ51" s="40" t="s">
        <v>172</v>
      </c>
      <c r="AR51" s="8"/>
      <c r="AS51" s="8" t="s">
        <v>170</v>
      </c>
      <c r="AT51" s="16"/>
      <c r="AU51" s="31"/>
    </row>
    <row r="52" spans="1:47">
      <c r="B52" s="91" t="s">
        <v>20</v>
      </c>
      <c r="C52" s="92"/>
      <c r="D52" s="93"/>
      <c r="E52" s="12">
        <f t="shared" si="11"/>
        <v>0</v>
      </c>
      <c r="F52" s="17">
        <f t="shared" si="9"/>
        <v>0</v>
      </c>
      <c r="G52" s="91" t="s">
        <v>20</v>
      </c>
      <c r="H52" s="92"/>
      <c r="I52" s="93"/>
      <c r="J52" s="12" t="e">
        <f t="shared" si="12"/>
        <v>#DIV/0!</v>
      </c>
      <c r="K52" s="17" t="e">
        <f t="shared" si="10"/>
        <v>#DIV/0!</v>
      </c>
      <c r="L52" s="98" t="s">
        <v>59</v>
      </c>
      <c r="M52" s="12" t="s">
        <v>173</v>
      </c>
      <c r="N52" s="12">
        <f>ABS(P49-P50)</f>
        <v>0</v>
      </c>
      <c r="O52" s="40" t="s">
        <v>174</v>
      </c>
      <c r="P52" s="12">
        <f>N51+P51</f>
        <v>0</v>
      </c>
      <c r="Q52" s="12"/>
      <c r="R52" s="12" t="s">
        <v>173</v>
      </c>
      <c r="S52" s="12">
        <f>ABS(U49-U50)</f>
        <v>0</v>
      </c>
      <c r="T52" s="40" t="s">
        <v>174</v>
      </c>
      <c r="U52" s="12">
        <f>S51+U51</f>
        <v>0</v>
      </c>
      <c r="V52" s="12"/>
      <c r="W52" s="12" t="s">
        <v>173</v>
      </c>
      <c r="X52" s="12">
        <f>ABS(Z49-Z50)</f>
        <v>0</v>
      </c>
      <c r="Y52" s="40" t="s">
        <v>174</v>
      </c>
      <c r="Z52" s="12">
        <f>X51+Z51</f>
        <v>0</v>
      </c>
      <c r="AA52" s="12"/>
      <c r="AB52" s="12" t="s">
        <v>173</v>
      </c>
      <c r="AC52" s="12">
        <f>ABS(AE49-AE50)</f>
        <v>0</v>
      </c>
      <c r="AD52" s="40" t="s">
        <v>174</v>
      </c>
      <c r="AE52" s="12">
        <f>AC51+AE51</f>
        <v>0</v>
      </c>
      <c r="AF52" s="12"/>
      <c r="AG52" s="12" t="s">
        <v>173</v>
      </c>
      <c r="AH52" s="12">
        <f>ABS(AJ49-AJ50)</f>
        <v>0</v>
      </c>
      <c r="AI52" s="40" t="s">
        <v>174</v>
      </c>
      <c r="AJ52" s="12">
        <f>AH51+AJ51</f>
        <v>0</v>
      </c>
      <c r="AK52" s="12"/>
      <c r="AL52" s="12" t="s">
        <v>173</v>
      </c>
      <c r="AM52" s="12">
        <f>ABS(AO49-AO50)</f>
        <v>0</v>
      </c>
      <c r="AN52" s="40" t="s">
        <v>174</v>
      </c>
      <c r="AO52" s="12">
        <f>AM51+AO51</f>
        <v>0</v>
      </c>
      <c r="AP52" s="12"/>
      <c r="AQ52" s="12" t="s">
        <v>173</v>
      </c>
      <c r="AR52" s="12">
        <f>ABS(AT49-AT50)</f>
        <v>0</v>
      </c>
      <c r="AS52" s="40" t="s">
        <v>174</v>
      </c>
      <c r="AT52" s="12">
        <f>AR51+AT51</f>
        <v>0</v>
      </c>
    </row>
    <row r="53" spans="1:47">
      <c r="B53" s="91" t="s">
        <v>21</v>
      </c>
      <c r="C53" s="92"/>
      <c r="D53" s="93"/>
      <c r="E53" s="12">
        <f t="shared" si="11"/>
        <v>0</v>
      </c>
      <c r="F53" s="17">
        <f t="shared" si="9"/>
        <v>0</v>
      </c>
      <c r="G53" s="91" t="s">
        <v>21</v>
      </c>
      <c r="H53" s="92"/>
      <c r="I53" s="93"/>
      <c r="J53" s="12" t="e">
        <f t="shared" si="12"/>
        <v>#DIV/0!</v>
      </c>
      <c r="K53" s="17" t="e">
        <f t="shared" si="10"/>
        <v>#DIV/0!</v>
      </c>
      <c r="L53" s="98"/>
      <c r="M53" s="12" t="s">
        <v>171</v>
      </c>
      <c r="N53" s="12"/>
      <c r="O53" s="12" t="s">
        <v>228</v>
      </c>
      <c r="P53" s="12"/>
      <c r="Q53" s="12"/>
      <c r="R53" s="12" t="s">
        <v>171</v>
      </c>
      <c r="S53" s="12"/>
      <c r="T53" s="12" t="s">
        <v>228</v>
      </c>
      <c r="U53" s="12"/>
      <c r="V53" s="30"/>
      <c r="W53" s="12" t="s">
        <v>171</v>
      </c>
      <c r="X53" s="12"/>
      <c r="Y53" s="12" t="s">
        <v>228</v>
      </c>
      <c r="Z53" s="12"/>
      <c r="AA53" s="30"/>
      <c r="AB53" s="12" t="s">
        <v>171</v>
      </c>
      <c r="AC53" s="12"/>
      <c r="AD53" s="12" t="s">
        <v>228</v>
      </c>
      <c r="AE53" s="12"/>
      <c r="AF53" s="30"/>
      <c r="AG53" s="12" t="s">
        <v>171</v>
      </c>
      <c r="AH53" s="12"/>
      <c r="AI53" s="12" t="s">
        <v>228</v>
      </c>
      <c r="AJ53" s="12"/>
      <c r="AK53" s="30"/>
      <c r="AL53" s="12" t="s">
        <v>171</v>
      </c>
      <c r="AM53" s="12"/>
      <c r="AN53" s="12" t="s">
        <v>228</v>
      </c>
      <c r="AO53" s="12"/>
      <c r="AP53" s="30"/>
      <c r="AQ53" s="12" t="s">
        <v>171</v>
      </c>
      <c r="AR53" s="12"/>
      <c r="AS53" s="12" t="s">
        <v>228</v>
      </c>
      <c r="AT53" s="12"/>
    </row>
    <row r="54" spans="1:47">
      <c r="B54" s="91" t="s">
        <v>22</v>
      </c>
      <c r="C54" s="92"/>
      <c r="D54" s="93"/>
      <c r="E54" s="12">
        <f t="shared" si="11"/>
        <v>0</v>
      </c>
      <c r="F54" s="17">
        <f t="shared" si="9"/>
        <v>0</v>
      </c>
      <c r="G54" s="91" t="s">
        <v>22</v>
      </c>
      <c r="H54" s="92"/>
      <c r="I54" s="93"/>
      <c r="J54" s="12" t="e">
        <f t="shared" si="12"/>
        <v>#DIV/0!</v>
      </c>
      <c r="K54" s="17" t="e">
        <f t="shared" si="10"/>
        <v>#DIV/0!</v>
      </c>
      <c r="L54" s="12"/>
      <c r="M54" s="96" t="s">
        <v>175</v>
      </c>
      <c r="N54" s="85"/>
      <c r="O54" s="85"/>
      <c r="P54" s="12" t="e">
        <f>P51*N53/P53</f>
        <v>#DIV/0!</v>
      </c>
      <c r="Q54" s="12"/>
      <c r="R54" s="96" t="s">
        <v>175</v>
      </c>
      <c r="S54" s="85"/>
      <c r="T54" s="85"/>
      <c r="U54" s="12" t="e">
        <f>U51*S53/U53</f>
        <v>#DIV/0!</v>
      </c>
      <c r="V54" s="12"/>
      <c r="W54" s="96" t="s">
        <v>175</v>
      </c>
      <c r="X54" s="85"/>
      <c r="Y54" s="85"/>
      <c r="Z54" s="12" t="e">
        <f>Z51*X53/Z53</f>
        <v>#DIV/0!</v>
      </c>
      <c r="AA54" s="12"/>
      <c r="AB54" s="96" t="s">
        <v>175</v>
      </c>
      <c r="AC54" s="85"/>
      <c r="AD54" s="85"/>
      <c r="AE54" s="12" t="e">
        <f>AE51*AC53/AE53</f>
        <v>#DIV/0!</v>
      </c>
      <c r="AF54" s="12"/>
      <c r="AG54" s="96" t="s">
        <v>175</v>
      </c>
      <c r="AH54" s="85"/>
      <c r="AI54" s="85"/>
      <c r="AJ54" s="12" t="e">
        <f>AJ51*AH53/AJ53</f>
        <v>#DIV/0!</v>
      </c>
      <c r="AK54" s="12"/>
      <c r="AL54" s="96" t="s">
        <v>175</v>
      </c>
      <c r="AM54" s="85"/>
      <c r="AN54" s="85"/>
      <c r="AO54" s="12" t="e">
        <f>AO51*AM53/AO53</f>
        <v>#DIV/0!</v>
      </c>
      <c r="AP54" s="12"/>
      <c r="AQ54" s="96" t="s">
        <v>175</v>
      </c>
      <c r="AR54" s="85"/>
      <c r="AS54" s="85"/>
      <c r="AT54" s="12" t="e">
        <f>AT51*AR53/AT53</f>
        <v>#DIV/0!</v>
      </c>
    </row>
    <row r="55" spans="1:47">
      <c r="B55" s="28"/>
      <c r="C55" s="28"/>
      <c r="D55" s="28"/>
      <c r="E55" s="14"/>
      <c r="F55" s="14"/>
      <c r="G55" s="14"/>
      <c r="H55" s="14"/>
      <c r="I55" s="28"/>
      <c r="J55" s="28"/>
      <c r="P55" s="66"/>
      <c r="U55" s="66"/>
      <c r="Z55" s="66"/>
      <c r="AE55" s="66"/>
      <c r="AJ55" s="66"/>
      <c r="AO55" s="66"/>
      <c r="AT55" s="66"/>
    </row>
    <row r="56" spans="1:47">
      <c r="B56" s="98" t="s">
        <v>4</v>
      </c>
      <c r="C56" s="100"/>
      <c r="D56" s="101"/>
      <c r="E56" s="21" t="s">
        <v>8</v>
      </c>
      <c r="F56" s="14"/>
      <c r="G56" s="98" t="s">
        <v>5</v>
      </c>
      <c r="H56" s="100"/>
      <c r="I56" s="101"/>
      <c r="J56" s="21" t="s">
        <v>8</v>
      </c>
      <c r="L56" s="102" t="s">
        <v>229</v>
      </c>
      <c r="M56" s="103"/>
      <c r="N56" s="103"/>
      <c r="O56" s="103"/>
      <c r="P56" s="103"/>
      <c r="Q56" s="104"/>
      <c r="R56" s="51" t="s">
        <v>160</v>
      </c>
      <c r="S56" s="7" t="s">
        <v>241</v>
      </c>
      <c r="T56" s="7" t="s">
        <v>242</v>
      </c>
      <c r="U56" s="7" t="s">
        <v>243</v>
      </c>
      <c r="W56" s="108" t="s">
        <v>226</v>
      </c>
      <c r="X56" s="109"/>
      <c r="Y56" s="109"/>
      <c r="Z56" s="109"/>
      <c r="AA56" s="109"/>
      <c r="AB56" s="109"/>
      <c r="AC56" s="109"/>
      <c r="AD56" s="109"/>
      <c r="AE56" s="110"/>
    </row>
    <row r="57" spans="1:47">
      <c r="A57" s="31"/>
      <c r="B57" s="91" t="s">
        <v>24</v>
      </c>
      <c r="C57" s="92"/>
      <c r="D57" s="93"/>
      <c r="E57" s="16"/>
      <c r="F57" s="14"/>
      <c r="G57" s="91" t="s">
        <v>31</v>
      </c>
      <c r="H57" s="92"/>
      <c r="I57" s="93"/>
      <c r="J57" s="12">
        <f>IF(P59=0,100,U59)</f>
        <v>100</v>
      </c>
      <c r="L57" s="105"/>
      <c r="M57" s="106"/>
      <c r="N57" s="106"/>
      <c r="O57" s="106"/>
      <c r="P57" s="106"/>
      <c r="Q57" s="107"/>
      <c r="R57" s="8"/>
      <c r="S57" s="8"/>
      <c r="T57" s="8"/>
      <c r="U57" s="8"/>
      <c r="V57" s="31"/>
      <c r="W57" s="8" t="s">
        <v>163</v>
      </c>
      <c r="X57" s="39"/>
      <c r="Y57" s="8" t="s">
        <v>212</v>
      </c>
      <c r="Z57" s="8">
        <f>IF(OR(X57=0,Z39=0),0,IF(E20&lt;X57,1,0))</f>
        <v>0</v>
      </c>
      <c r="AA57" s="52"/>
      <c r="AB57" s="86" t="s">
        <v>219</v>
      </c>
      <c r="AC57" s="87"/>
      <c r="AD57" s="88"/>
      <c r="AE57" s="12">
        <f t="shared" ref="AE57:AE63" si="13">IF(Z57=1,Z39*E20/X57,Z39)</f>
        <v>0</v>
      </c>
    </row>
    <row r="58" spans="1:47">
      <c r="A58" s="31"/>
      <c r="B58" s="91" t="s">
        <v>25</v>
      </c>
      <c r="C58" s="92"/>
      <c r="D58" s="93"/>
      <c r="E58" s="16"/>
      <c r="F58" s="14"/>
      <c r="G58" s="91" t="s">
        <v>32</v>
      </c>
      <c r="H58" s="92"/>
      <c r="I58" s="93"/>
      <c r="J58" s="12">
        <f>IF(P61=0,100,U61)</f>
        <v>100</v>
      </c>
      <c r="L58" s="85" t="s">
        <v>231</v>
      </c>
      <c r="M58" s="85"/>
      <c r="N58" s="12"/>
      <c r="O58" s="8" t="s">
        <v>230</v>
      </c>
      <c r="P58" s="12" t="str">
        <f>IF(N58=1,"megenta","green")</f>
        <v>green</v>
      </c>
      <c r="Q58" s="30"/>
      <c r="R58" s="53" t="s">
        <v>244</v>
      </c>
      <c r="S58" s="12">
        <f>P59/256*100</f>
        <v>0</v>
      </c>
      <c r="T58" s="12" t="s">
        <v>245</v>
      </c>
      <c r="U58" s="12">
        <f>IF(SUM(E20:E26)&lt;($R$57/100*18*24),S58+((100-S58)*(($R$57/100*18*24)-SUM(E20:E26))/($R$57/100*18*24)),S58)</f>
        <v>0</v>
      </c>
      <c r="V58" s="31"/>
      <c r="W58" s="12" t="s">
        <v>164</v>
      </c>
      <c r="X58" s="16"/>
      <c r="Y58" s="12" t="s">
        <v>213</v>
      </c>
      <c r="Z58" s="8">
        <f t="shared" ref="Z58:Z63" si="14">IF(OR(X58=0,Z40=0),0,IF(E21&lt;X58,1,0))</f>
        <v>0</v>
      </c>
      <c r="AA58" s="52"/>
      <c r="AB58" s="86" t="s">
        <v>220</v>
      </c>
      <c r="AC58" s="87"/>
      <c r="AD58" s="88"/>
      <c r="AE58" s="12">
        <f t="shared" si="13"/>
        <v>0</v>
      </c>
    </row>
    <row r="59" spans="1:47">
      <c r="A59" s="31"/>
      <c r="B59" s="91" t="s">
        <v>26</v>
      </c>
      <c r="C59" s="92"/>
      <c r="D59" s="93"/>
      <c r="E59" s="16"/>
      <c r="F59" s="14"/>
      <c r="G59" s="91" t="s">
        <v>33</v>
      </c>
      <c r="H59" s="92"/>
      <c r="I59" s="93"/>
      <c r="J59" s="12"/>
      <c r="L59" s="85" t="s">
        <v>234</v>
      </c>
      <c r="M59" s="85"/>
      <c r="N59" s="12"/>
      <c r="O59" s="12" t="s">
        <v>235</v>
      </c>
      <c r="P59" s="16"/>
      <c r="Q59" s="62"/>
      <c r="R59" s="12" t="s">
        <v>246</v>
      </c>
      <c r="S59" s="12">
        <f>IF($J$3&lt;$S$57,U58+((100-U58)*$J$3/$S$57),U58)</f>
        <v>0</v>
      </c>
      <c r="T59" s="12" t="s">
        <v>247</v>
      </c>
      <c r="U59" s="12">
        <f>IF(E39&lt;$T$57,S59,IF(E39&gt;$U$57,100,IF(T57=U57,S59,S59+((E39-$T$57)*(100-S59)/($U$57-$T$57)))))</f>
        <v>0</v>
      </c>
      <c r="V59" s="31"/>
      <c r="W59" s="12" t="s">
        <v>208</v>
      </c>
      <c r="X59" s="16"/>
      <c r="Y59" s="12" t="s">
        <v>214</v>
      </c>
      <c r="Z59" s="8">
        <f t="shared" si="14"/>
        <v>0</v>
      </c>
      <c r="AA59" s="52"/>
      <c r="AB59" s="86" t="s">
        <v>221</v>
      </c>
      <c r="AC59" s="87"/>
      <c r="AD59" s="88"/>
      <c r="AE59" s="12">
        <f t="shared" si="13"/>
        <v>0</v>
      </c>
    </row>
    <row r="60" spans="1:47">
      <c r="A60" s="31"/>
      <c r="B60" s="91" t="s">
        <v>27</v>
      </c>
      <c r="C60" s="92"/>
      <c r="D60" s="93"/>
      <c r="E60" s="16"/>
      <c r="F60" s="14"/>
      <c r="G60" s="91" t="s">
        <v>34</v>
      </c>
      <c r="H60" s="92"/>
      <c r="I60" s="93"/>
      <c r="J60" s="12"/>
      <c r="L60" s="85" t="s">
        <v>232</v>
      </c>
      <c r="M60" s="85"/>
      <c r="N60" s="12"/>
      <c r="O60" s="12" t="s">
        <v>230</v>
      </c>
      <c r="P60" s="12" t="str">
        <f>IF(N60=1,"megenta","green")</f>
        <v>green</v>
      </c>
      <c r="Q60" s="30"/>
      <c r="R60" s="53" t="s">
        <v>244</v>
      </c>
      <c r="S60" s="12">
        <f>P61/256*100</f>
        <v>0</v>
      </c>
      <c r="T60" s="12" t="s">
        <v>245</v>
      </c>
      <c r="U60" s="12">
        <f>IF(SUM(E20:E26)&lt;($R$57/100*18*24),S60+((100-S60)*(($R$57/100*18*24)-SUM(E20:E26))/($R$57/100*18*24)),S60)</f>
        <v>0</v>
      </c>
      <c r="V60" s="31"/>
      <c r="W60" s="22" t="s">
        <v>209</v>
      </c>
      <c r="X60" s="16"/>
      <c r="Y60" s="12" t="s">
        <v>215</v>
      </c>
      <c r="Z60" s="8">
        <f t="shared" si="14"/>
        <v>0</v>
      </c>
      <c r="AA60" s="52"/>
      <c r="AB60" s="86" t="s">
        <v>222</v>
      </c>
      <c r="AC60" s="87"/>
      <c r="AD60" s="88"/>
      <c r="AE60" s="12">
        <f t="shared" si="13"/>
        <v>0</v>
      </c>
    </row>
    <row r="61" spans="1:47">
      <c r="A61" s="31"/>
      <c r="B61" s="91" t="s">
        <v>28</v>
      </c>
      <c r="C61" s="92"/>
      <c r="D61" s="93"/>
      <c r="E61" s="16"/>
      <c r="F61" s="14"/>
      <c r="G61" s="91" t="s">
        <v>35</v>
      </c>
      <c r="H61" s="92"/>
      <c r="I61" s="93"/>
      <c r="J61" s="12"/>
      <c r="L61" s="85" t="s">
        <v>236</v>
      </c>
      <c r="M61" s="85"/>
      <c r="N61" s="12"/>
      <c r="O61" s="12" t="s">
        <v>235</v>
      </c>
      <c r="P61" s="16"/>
      <c r="Q61" s="62"/>
      <c r="R61" s="12" t="s">
        <v>246</v>
      </c>
      <c r="S61" s="12">
        <f>IF($J$3&lt;$S$57,U60+((100-U60)*$J$3/$S$57),U60)</f>
        <v>0</v>
      </c>
      <c r="T61" s="12" t="s">
        <v>247</v>
      </c>
      <c r="U61" s="12">
        <f>IF(E40&lt;$T$57,S61,IF(E40&gt;$U$57,100,IF(T57=U57,S61,S61+((E40-$T$57)*(100-S61)/($U$57-$T$57)))))</f>
        <v>0</v>
      </c>
      <c r="V61" s="31"/>
      <c r="W61" s="12" t="s">
        <v>210</v>
      </c>
      <c r="X61" s="16"/>
      <c r="Y61" s="12" t="s">
        <v>216</v>
      </c>
      <c r="Z61" s="8">
        <f t="shared" si="14"/>
        <v>0</v>
      </c>
      <c r="AA61" s="52"/>
      <c r="AB61" s="86" t="s">
        <v>223</v>
      </c>
      <c r="AC61" s="87"/>
      <c r="AD61" s="88"/>
      <c r="AE61" s="12">
        <f t="shared" si="13"/>
        <v>0</v>
      </c>
    </row>
    <row r="62" spans="1:47">
      <c r="A62" s="31"/>
      <c r="B62" s="91" t="s">
        <v>29</v>
      </c>
      <c r="C62" s="92"/>
      <c r="D62" s="93"/>
      <c r="E62" s="16"/>
      <c r="F62" s="14"/>
      <c r="G62" s="91" t="s">
        <v>36</v>
      </c>
      <c r="H62" s="92"/>
      <c r="I62" s="93"/>
      <c r="J62" s="12">
        <f>IF(P63=0,100,U63)</f>
        <v>100</v>
      </c>
      <c r="L62" s="85" t="s">
        <v>233</v>
      </c>
      <c r="M62" s="85"/>
      <c r="N62" s="12"/>
      <c r="O62" s="12" t="s">
        <v>230</v>
      </c>
      <c r="P62" s="12" t="str">
        <f>IF(N62=1,"megenta","green")</f>
        <v>green</v>
      </c>
      <c r="Q62" s="30"/>
      <c r="R62" s="53" t="s">
        <v>244</v>
      </c>
      <c r="S62" s="12">
        <f>P63/256*100</f>
        <v>0</v>
      </c>
      <c r="T62" s="12" t="s">
        <v>245</v>
      </c>
      <c r="U62" s="12">
        <f>IF(SUM(E20:E26)&lt;($R$57/100*18*24),S62+((100-S62)*(($R$57/100*18*24)-SUM(E20:E26))/($R$57/100*18*24)),S62)</f>
        <v>0</v>
      </c>
      <c r="V62" s="31"/>
      <c r="W62" s="12" t="s">
        <v>165</v>
      </c>
      <c r="X62" s="16"/>
      <c r="Y62" s="12" t="s">
        <v>217</v>
      </c>
      <c r="Z62" s="8">
        <f t="shared" si="14"/>
        <v>0</v>
      </c>
      <c r="AA62" s="52"/>
      <c r="AB62" s="86" t="s">
        <v>224</v>
      </c>
      <c r="AC62" s="87"/>
      <c r="AD62" s="88"/>
      <c r="AE62" s="12">
        <f t="shared" si="13"/>
        <v>0</v>
      </c>
    </row>
    <row r="63" spans="1:47">
      <c r="A63" s="31"/>
      <c r="B63" s="91" t="s">
        <v>30</v>
      </c>
      <c r="C63" s="92"/>
      <c r="D63" s="93"/>
      <c r="E63" s="16"/>
      <c r="F63" s="14"/>
      <c r="G63" s="91" t="s">
        <v>37</v>
      </c>
      <c r="H63" s="92"/>
      <c r="I63" s="93"/>
      <c r="J63" s="12"/>
      <c r="L63" s="85" t="s">
        <v>237</v>
      </c>
      <c r="M63" s="85"/>
      <c r="N63" s="12"/>
      <c r="O63" s="12" t="s">
        <v>235</v>
      </c>
      <c r="P63" s="16"/>
      <c r="Q63" s="62"/>
      <c r="R63" s="12" t="s">
        <v>246</v>
      </c>
      <c r="S63" s="12">
        <f>IF($J$3&lt;$S$57,U62+((100-U62)*$J$3/$S$57),U62)</f>
        <v>0</v>
      </c>
      <c r="T63" s="12" t="s">
        <v>247</v>
      </c>
      <c r="U63" s="12">
        <f>IF(E44&lt;$T$57,S63,IF(E44&gt;$U$57,100,IF(T57=U57,S63,S63+((E44-$T$57)*(100-S63)/($U$57-$T$57)))))</f>
        <v>0</v>
      </c>
      <c r="V63" s="31"/>
      <c r="W63" s="12" t="s">
        <v>211</v>
      </c>
      <c r="X63" s="16"/>
      <c r="Y63" s="12" t="s">
        <v>218</v>
      </c>
      <c r="Z63" s="8">
        <f t="shared" si="14"/>
        <v>0</v>
      </c>
      <c r="AA63" s="52"/>
      <c r="AB63" s="86" t="s">
        <v>225</v>
      </c>
      <c r="AC63" s="87"/>
      <c r="AD63" s="88"/>
      <c r="AE63" s="12">
        <f t="shared" si="13"/>
        <v>0</v>
      </c>
    </row>
    <row r="65" spans="10:52">
      <c r="L65" s="56" t="s">
        <v>282</v>
      </c>
      <c r="M65" s="60" t="s">
        <v>283</v>
      </c>
      <c r="N65" s="98" t="s">
        <v>295</v>
      </c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98"/>
      <c r="AC65" s="98"/>
      <c r="AD65" s="98"/>
      <c r="AE65" s="98"/>
      <c r="AF65" s="98"/>
      <c r="AG65" s="98"/>
      <c r="AH65" s="98"/>
      <c r="AI65" s="98"/>
      <c r="AJ65" s="98"/>
      <c r="AK65" s="98"/>
      <c r="AL65" s="98"/>
      <c r="AM65" s="98"/>
      <c r="AN65" s="98"/>
      <c r="AO65" s="98"/>
      <c r="AP65" s="98"/>
      <c r="AQ65" s="98"/>
      <c r="AR65" s="98"/>
      <c r="AS65" s="98"/>
      <c r="AT65" s="98"/>
      <c r="AU65" s="98"/>
      <c r="AV65" s="98"/>
      <c r="AW65" s="98"/>
      <c r="AX65" s="98"/>
      <c r="AY65" s="98"/>
    </row>
    <row r="66" spans="10:52">
      <c r="J66"/>
      <c r="K66"/>
      <c r="L66" s="55" t="e">
        <f>AY84</f>
        <v>#DIV/0!</v>
      </c>
      <c r="M66" s="55" t="e">
        <f>AY85</f>
        <v>#DIV/0!</v>
      </c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98"/>
      <c r="AC66" s="98"/>
      <c r="AD66" s="98"/>
      <c r="AE66" s="98"/>
      <c r="AF66" s="98"/>
      <c r="AG66" s="98"/>
      <c r="AH66" s="98"/>
      <c r="AI66" s="98"/>
      <c r="AJ66" s="98"/>
      <c r="AK66" s="98"/>
      <c r="AL66" s="98"/>
      <c r="AM66" s="98"/>
      <c r="AN66" s="98"/>
      <c r="AO66" s="98"/>
      <c r="AP66" s="98"/>
      <c r="AQ66" s="98"/>
      <c r="AR66" s="98"/>
      <c r="AS66" s="98"/>
      <c r="AT66" s="98"/>
      <c r="AU66" s="98"/>
      <c r="AV66" s="98"/>
      <c r="AW66" s="98"/>
      <c r="AX66" s="98"/>
      <c r="AY66" s="98"/>
    </row>
    <row r="67" spans="10:52">
      <c r="J67"/>
      <c r="K67"/>
      <c r="L67" s="7"/>
      <c r="M67" s="149" t="s">
        <v>269</v>
      </c>
      <c r="N67" s="83"/>
      <c r="O67" s="83"/>
      <c r="P67" s="84"/>
      <c r="Q67" s="42"/>
      <c r="R67" s="82" t="s">
        <v>268</v>
      </c>
      <c r="S67" s="83"/>
      <c r="T67" s="83"/>
      <c r="U67" s="84"/>
      <c r="V67" s="42"/>
      <c r="W67" s="82" t="s">
        <v>267</v>
      </c>
      <c r="X67" s="83"/>
      <c r="Y67" s="83"/>
      <c r="Z67" s="84"/>
      <c r="AA67" s="42"/>
      <c r="AB67" s="82" t="s">
        <v>266</v>
      </c>
      <c r="AC67" s="83"/>
      <c r="AD67" s="83"/>
      <c r="AE67" s="84"/>
      <c r="AF67" s="42"/>
      <c r="AG67" s="82" t="s">
        <v>265</v>
      </c>
      <c r="AH67" s="83"/>
      <c r="AI67" s="83"/>
      <c r="AJ67" s="84"/>
      <c r="AK67" s="42"/>
      <c r="AL67" s="82" t="s">
        <v>264</v>
      </c>
      <c r="AM67" s="83"/>
      <c r="AN67" s="83"/>
      <c r="AO67" s="84"/>
      <c r="AP67" s="42"/>
      <c r="AQ67" s="82" t="s">
        <v>263</v>
      </c>
      <c r="AR67" s="83"/>
      <c r="AS67" s="83"/>
      <c r="AT67" s="84"/>
      <c r="AU67" s="30"/>
      <c r="AV67" s="82" t="s">
        <v>303</v>
      </c>
      <c r="AW67" s="83"/>
      <c r="AX67" s="83"/>
      <c r="AY67" s="84"/>
    </row>
    <row r="68" spans="10:52">
      <c r="J68"/>
      <c r="K68"/>
      <c r="L68" s="77" t="s">
        <v>290</v>
      </c>
      <c r="M68" s="77" t="s">
        <v>262</v>
      </c>
      <c r="N68" s="8" t="s">
        <v>261</v>
      </c>
      <c r="O68" s="8" t="s">
        <v>260</v>
      </c>
      <c r="P68" s="8" t="s">
        <v>259</v>
      </c>
      <c r="Q68" s="8"/>
      <c r="R68" s="77" t="s">
        <v>262</v>
      </c>
      <c r="S68" s="8" t="s">
        <v>261</v>
      </c>
      <c r="T68" s="8" t="s">
        <v>260</v>
      </c>
      <c r="U68" s="8" t="s">
        <v>259</v>
      </c>
      <c r="V68" s="8"/>
      <c r="W68" s="77" t="s">
        <v>262</v>
      </c>
      <c r="X68" s="8" t="s">
        <v>261</v>
      </c>
      <c r="Y68" s="8" t="s">
        <v>260</v>
      </c>
      <c r="Z68" s="8" t="s">
        <v>259</v>
      </c>
      <c r="AA68" s="8"/>
      <c r="AB68" s="77" t="s">
        <v>262</v>
      </c>
      <c r="AC68" s="8" t="s">
        <v>261</v>
      </c>
      <c r="AD68" s="8" t="s">
        <v>260</v>
      </c>
      <c r="AE68" s="8" t="s">
        <v>259</v>
      </c>
      <c r="AF68" s="8"/>
      <c r="AG68" s="77" t="s">
        <v>262</v>
      </c>
      <c r="AH68" s="8" t="s">
        <v>261</v>
      </c>
      <c r="AI68" s="8" t="s">
        <v>260</v>
      </c>
      <c r="AJ68" s="8" t="s">
        <v>259</v>
      </c>
      <c r="AK68" s="8"/>
      <c r="AL68" s="77" t="s">
        <v>262</v>
      </c>
      <c r="AM68" s="8" t="s">
        <v>261</v>
      </c>
      <c r="AN68" s="8" t="s">
        <v>260</v>
      </c>
      <c r="AO68" s="8" t="s">
        <v>259</v>
      </c>
      <c r="AP68" s="8"/>
      <c r="AQ68" s="77" t="s">
        <v>262</v>
      </c>
      <c r="AR68" s="8" t="s">
        <v>261</v>
      </c>
      <c r="AS68" s="8" t="s">
        <v>260</v>
      </c>
      <c r="AT68" s="8" t="s">
        <v>259</v>
      </c>
      <c r="AU68" s="30"/>
      <c r="AV68" s="77" t="s">
        <v>262</v>
      </c>
      <c r="AW68" s="8" t="s">
        <v>261</v>
      </c>
      <c r="AX68" s="8" t="s">
        <v>260</v>
      </c>
      <c r="AY68" s="8" t="s">
        <v>259</v>
      </c>
    </row>
    <row r="69" spans="10:52">
      <c r="J69"/>
      <c r="K69"/>
      <c r="L69" s="89"/>
      <c r="M69" s="78"/>
      <c r="N69" s="8"/>
      <c r="O69" s="8"/>
      <c r="P69" s="8"/>
      <c r="Q69" s="8"/>
      <c r="R69" s="78"/>
      <c r="S69" s="8"/>
      <c r="T69" s="8"/>
      <c r="U69" s="8"/>
      <c r="V69" s="8"/>
      <c r="W69" s="78"/>
      <c r="X69" s="8"/>
      <c r="Y69" s="8"/>
      <c r="Z69" s="8"/>
      <c r="AA69" s="8"/>
      <c r="AB69" s="78"/>
      <c r="AC69" s="8"/>
      <c r="AD69" s="8"/>
      <c r="AE69" s="8"/>
      <c r="AF69" s="8"/>
      <c r="AG69" s="78"/>
      <c r="AH69" s="8"/>
      <c r="AI69" s="8"/>
      <c r="AJ69" s="8"/>
      <c r="AK69" s="8"/>
      <c r="AL69" s="78"/>
      <c r="AM69" s="8"/>
      <c r="AN69" s="8"/>
      <c r="AO69" s="8"/>
      <c r="AP69" s="8"/>
      <c r="AQ69" s="78"/>
      <c r="AR69" s="8"/>
      <c r="AS69" s="8"/>
      <c r="AT69" s="8"/>
      <c r="AU69" s="30"/>
      <c r="AV69" s="78"/>
      <c r="AW69" s="8"/>
      <c r="AX69" s="8"/>
      <c r="AY69" s="8"/>
    </row>
    <row r="70" spans="10:52">
      <c r="J70"/>
      <c r="K70" s="9"/>
      <c r="L70" s="89"/>
      <c r="M70" s="59" t="s">
        <v>288</v>
      </c>
      <c r="N70" s="39"/>
      <c r="O70" s="8" t="s">
        <v>238</v>
      </c>
      <c r="P70" s="8"/>
      <c r="Q70" s="65"/>
      <c r="R70" s="59" t="s">
        <v>288</v>
      </c>
      <c r="S70" s="39"/>
      <c r="T70" s="8" t="s">
        <v>238</v>
      </c>
      <c r="U70" s="8"/>
      <c r="V70" s="65"/>
      <c r="W70" s="59" t="s">
        <v>288</v>
      </c>
      <c r="X70" s="39"/>
      <c r="Y70" s="8" t="s">
        <v>238</v>
      </c>
      <c r="Z70" s="8"/>
      <c r="AA70" s="65"/>
      <c r="AB70" s="59" t="s">
        <v>288</v>
      </c>
      <c r="AC70" s="39"/>
      <c r="AD70" s="8" t="s">
        <v>238</v>
      </c>
      <c r="AE70" s="8"/>
      <c r="AF70" s="65"/>
      <c r="AG70" s="59" t="s">
        <v>288</v>
      </c>
      <c r="AH70" s="39"/>
      <c r="AI70" s="8" t="s">
        <v>238</v>
      </c>
      <c r="AJ70" s="8"/>
      <c r="AK70" s="65"/>
      <c r="AL70" s="59" t="s">
        <v>288</v>
      </c>
      <c r="AM70" s="39"/>
      <c r="AN70" s="8" t="s">
        <v>238</v>
      </c>
      <c r="AO70" s="8"/>
      <c r="AP70" s="65"/>
      <c r="AQ70" s="59" t="s">
        <v>288</v>
      </c>
      <c r="AR70" s="39"/>
      <c r="AS70" s="8" t="s">
        <v>238</v>
      </c>
      <c r="AT70" s="8"/>
      <c r="AU70" s="62"/>
      <c r="AV70" s="59" t="s">
        <v>288</v>
      </c>
      <c r="AW70" s="39"/>
      <c r="AX70" s="8" t="s">
        <v>238</v>
      </c>
      <c r="AY70" s="8"/>
      <c r="AZ70" s="31"/>
    </row>
    <row r="71" spans="10:52">
      <c r="J71"/>
      <c r="K71" s="9"/>
      <c r="L71" s="89"/>
      <c r="M71" s="58" t="s">
        <v>258</v>
      </c>
      <c r="N71" s="39"/>
      <c r="O71" s="57" t="s">
        <v>257</v>
      </c>
      <c r="P71" s="8"/>
      <c r="Q71" s="65"/>
      <c r="R71" s="58" t="s">
        <v>258</v>
      </c>
      <c r="S71" s="39"/>
      <c r="T71" s="57" t="s">
        <v>257</v>
      </c>
      <c r="U71" s="8"/>
      <c r="V71" s="65"/>
      <c r="W71" s="58" t="s">
        <v>258</v>
      </c>
      <c r="X71" s="39"/>
      <c r="Y71" s="57" t="s">
        <v>257</v>
      </c>
      <c r="Z71" s="8"/>
      <c r="AA71" s="65"/>
      <c r="AB71" s="58" t="s">
        <v>258</v>
      </c>
      <c r="AC71" s="39"/>
      <c r="AD71" s="57" t="s">
        <v>257</v>
      </c>
      <c r="AE71" s="8"/>
      <c r="AF71" s="65"/>
      <c r="AG71" s="58" t="s">
        <v>258</v>
      </c>
      <c r="AH71" s="39"/>
      <c r="AI71" s="57" t="s">
        <v>257</v>
      </c>
      <c r="AJ71" s="8"/>
      <c r="AK71" s="65"/>
      <c r="AL71" s="58" t="s">
        <v>258</v>
      </c>
      <c r="AM71" s="39"/>
      <c r="AN71" s="57" t="s">
        <v>257</v>
      </c>
      <c r="AO71" s="8"/>
      <c r="AP71" s="65"/>
      <c r="AQ71" s="58" t="s">
        <v>258</v>
      </c>
      <c r="AR71" s="39"/>
      <c r="AS71" s="57" t="s">
        <v>257</v>
      </c>
      <c r="AT71" s="8"/>
      <c r="AU71" s="62"/>
      <c r="AV71" s="58" t="s">
        <v>258</v>
      </c>
      <c r="AW71" s="39"/>
      <c r="AX71" s="57" t="s">
        <v>257</v>
      </c>
      <c r="AY71" s="8"/>
      <c r="AZ71" s="31"/>
    </row>
    <row r="72" spans="10:52">
      <c r="J72"/>
      <c r="K72" s="9"/>
      <c r="L72" s="89"/>
      <c r="M72" s="57" t="s">
        <v>256</v>
      </c>
      <c r="N72" s="8"/>
      <c r="O72" s="8" t="s">
        <v>240</v>
      </c>
      <c r="P72" s="39"/>
      <c r="Q72" s="65"/>
      <c r="R72" s="57" t="s">
        <v>256</v>
      </c>
      <c r="S72" s="8"/>
      <c r="T72" s="8" t="s">
        <v>240</v>
      </c>
      <c r="U72" s="39"/>
      <c r="V72" s="65"/>
      <c r="W72" s="57" t="s">
        <v>256</v>
      </c>
      <c r="X72" s="8"/>
      <c r="Y72" s="8" t="s">
        <v>240</v>
      </c>
      <c r="Z72" s="39"/>
      <c r="AA72" s="65"/>
      <c r="AB72" s="57" t="s">
        <v>256</v>
      </c>
      <c r="AC72" s="8"/>
      <c r="AD72" s="8" t="s">
        <v>240</v>
      </c>
      <c r="AE72" s="39"/>
      <c r="AF72" s="65"/>
      <c r="AG72" s="57" t="s">
        <v>256</v>
      </c>
      <c r="AH72" s="8"/>
      <c r="AI72" s="8" t="s">
        <v>240</v>
      </c>
      <c r="AJ72" s="39"/>
      <c r="AK72" s="65"/>
      <c r="AL72" s="57" t="s">
        <v>256</v>
      </c>
      <c r="AM72" s="8"/>
      <c r="AN72" s="8" t="s">
        <v>240</v>
      </c>
      <c r="AO72" s="39"/>
      <c r="AP72" s="65"/>
      <c r="AQ72" s="57" t="s">
        <v>256</v>
      </c>
      <c r="AR72" s="8"/>
      <c r="AS72" s="8" t="s">
        <v>240</v>
      </c>
      <c r="AT72" s="39"/>
      <c r="AU72" s="62"/>
      <c r="AV72" s="57" t="s">
        <v>256</v>
      </c>
      <c r="AW72" s="8"/>
      <c r="AX72" s="8" t="s">
        <v>240</v>
      </c>
      <c r="AY72" s="39"/>
      <c r="AZ72" s="31"/>
    </row>
    <row r="73" spans="10:52">
      <c r="J73"/>
      <c r="K73" s="9"/>
      <c r="L73" s="89"/>
      <c r="M73" s="77" t="s">
        <v>270</v>
      </c>
      <c r="N73" s="8" t="s">
        <v>143</v>
      </c>
      <c r="O73" s="8" t="s">
        <v>271</v>
      </c>
      <c r="P73" s="8" t="s">
        <v>144</v>
      </c>
      <c r="Q73" s="65"/>
      <c r="R73" s="77" t="s">
        <v>270</v>
      </c>
      <c r="S73" s="8" t="s">
        <v>143</v>
      </c>
      <c r="T73" s="8" t="s">
        <v>271</v>
      </c>
      <c r="U73" s="8" t="s">
        <v>144</v>
      </c>
      <c r="V73" s="65"/>
      <c r="W73" s="77" t="s">
        <v>270</v>
      </c>
      <c r="X73" s="8" t="s">
        <v>143</v>
      </c>
      <c r="Y73" s="8" t="s">
        <v>271</v>
      </c>
      <c r="Z73" s="8" t="s">
        <v>144</v>
      </c>
      <c r="AA73" s="65"/>
      <c r="AB73" s="77" t="s">
        <v>270</v>
      </c>
      <c r="AC73" s="8" t="s">
        <v>143</v>
      </c>
      <c r="AD73" s="8" t="s">
        <v>271</v>
      </c>
      <c r="AE73" s="8" t="s">
        <v>144</v>
      </c>
      <c r="AF73" s="65"/>
      <c r="AG73" s="77" t="s">
        <v>270</v>
      </c>
      <c r="AH73" s="8" t="s">
        <v>143</v>
      </c>
      <c r="AI73" s="8" t="s">
        <v>271</v>
      </c>
      <c r="AJ73" s="8" t="s">
        <v>144</v>
      </c>
      <c r="AK73" s="65"/>
      <c r="AL73" s="77" t="s">
        <v>270</v>
      </c>
      <c r="AM73" s="8" t="s">
        <v>143</v>
      </c>
      <c r="AN73" s="8" t="s">
        <v>271</v>
      </c>
      <c r="AO73" s="8" t="s">
        <v>144</v>
      </c>
      <c r="AP73" s="65"/>
      <c r="AQ73" s="77" t="s">
        <v>270</v>
      </c>
      <c r="AR73" s="8" t="s">
        <v>143</v>
      </c>
      <c r="AS73" s="8" t="s">
        <v>271</v>
      </c>
      <c r="AT73" s="8" t="s">
        <v>144</v>
      </c>
      <c r="AU73" s="62"/>
      <c r="AV73" s="77" t="s">
        <v>270</v>
      </c>
      <c r="AW73" s="8" t="s">
        <v>143</v>
      </c>
      <c r="AX73" s="8" t="s">
        <v>271</v>
      </c>
      <c r="AY73" s="8" t="s">
        <v>144</v>
      </c>
      <c r="AZ73" s="31"/>
    </row>
    <row r="74" spans="10:52">
      <c r="J74"/>
      <c r="K74" s="9"/>
      <c r="L74" s="89"/>
      <c r="M74" s="78"/>
      <c r="N74" s="39"/>
      <c r="O74" s="8">
        <v>512</v>
      </c>
      <c r="P74" s="39"/>
      <c r="Q74" s="65"/>
      <c r="R74" s="78"/>
      <c r="S74" s="39"/>
      <c r="T74" s="8">
        <v>512</v>
      </c>
      <c r="U74" s="39"/>
      <c r="V74" s="65"/>
      <c r="W74" s="78"/>
      <c r="X74" s="39"/>
      <c r="Y74" s="8">
        <v>512</v>
      </c>
      <c r="Z74" s="39"/>
      <c r="AA74" s="65"/>
      <c r="AB74" s="78"/>
      <c r="AC74" s="39"/>
      <c r="AD74" s="8">
        <v>512</v>
      </c>
      <c r="AE74" s="39"/>
      <c r="AF74" s="65"/>
      <c r="AG74" s="78"/>
      <c r="AH74" s="39"/>
      <c r="AI74" s="8">
        <v>512</v>
      </c>
      <c r="AJ74" s="39"/>
      <c r="AK74" s="65"/>
      <c r="AL74" s="78"/>
      <c r="AM74" s="39"/>
      <c r="AN74" s="8">
        <v>512</v>
      </c>
      <c r="AO74" s="39"/>
      <c r="AP74" s="65"/>
      <c r="AQ74" s="78"/>
      <c r="AR74" s="39"/>
      <c r="AS74" s="8">
        <v>512</v>
      </c>
      <c r="AT74" s="39"/>
      <c r="AU74" s="62"/>
      <c r="AV74" s="78"/>
      <c r="AW74" s="39"/>
      <c r="AX74" s="8">
        <v>512</v>
      </c>
      <c r="AY74" s="39"/>
      <c r="AZ74" s="31"/>
    </row>
    <row r="75" spans="10:52">
      <c r="K75" s="66"/>
      <c r="L75" s="89"/>
      <c r="M75" s="12" t="s">
        <v>272</v>
      </c>
      <c r="N75" s="12" t="s">
        <v>273</v>
      </c>
      <c r="O75" s="12" t="s">
        <v>274</v>
      </c>
      <c r="P75" s="12" t="s">
        <v>275</v>
      </c>
      <c r="Q75" s="62"/>
      <c r="R75" s="12" t="s">
        <v>272</v>
      </c>
      <c r="S75" s="12" t="s">
        <v>273</v>
      </c>
      <c r="T75" s="12" t="s">
        <v>274</v>
      </c>
      <c r="U75" s="12" t="s">
        <v>275</v>
      </c>
      <c r="V75" s="62"/>
      <c r="W75" s="12" t="s">
        <v>272</v>
      </c>
      <c r="X75" s="12" t="s">
        <v>273</v>
      </c>
      <c r="Y75" s="12" t="s">
        <v>274</v>
      </c>
      <c r="Z75" s="12" t="s">
        <v>275</v>
      </c>
      <c r="AA75" s="62"/>
      <c r="AB75" s="12" t="s">
        <v>272</v>
      </c>
      <c r="AC75" s="12" t="s">
        <v>273</v>
      </c>
      <c r="AD75" s="12" t="s">
        <v>274</v>
      </c>
      <c r="AE75" s="12" t="s">
        <v>275</v>
      </c>
      <c r="AF75" s="62"/>
      <c r="AG75" s="12" t="s">
        <v>272</v>
      </c>
      <c r="AH75" s="12" t="s">
        <v>273</v>
      </c>
      <c r="AI75" s="12" t="s">
        <v>274</v>
      </c>
      <c r="AJ75" s="12" t="s">
        <v>275</v>
      </c>
      <c r="AK75" s="62"/>
      <c r="AL75" s="12" t="s">
        <v>272</v>
      </c>
      <c r="AM75" s="12" t="s">
        <v>273</v>
      </c>
      <c r="AN75" s="12" t="s">
        <v>274</v>
      </c>
      <c r="AO75" s="12" t="s">
        <v>275</v>
      </c>
      <c r="AP75" s="62"/>
      <c r="AQ75" s="12" t="s">
        <v>272</v>
      </c>
      <c r="AR75" s="12" t="s">
        <v>273</v>
      </c>
      <c r="AS75" s="12" t="s">
        <v>274</v>
      </c>
      <c r="AT75" s="12" t="s">
        <v>275</v>
      </c>
      <c r="AU75" s="62"/>
      <c r="AV75" s="12" t="s">
        <v>272</v>
      </c>
      <c r="AW75" s="12" t="s">
        <v>273</v>
      </c>
      <c r="AX75" s="12" t="s">
        <v>274</v>
      </c>
      <c r="AY75" s="12" t="s">
        <v>275</v>
      </c>
      <c r="AZ75" s="31"/>
    </row>
    <row r="76" spans="10:52">
      <c r="K76" s="66"/>
      <c r="L76" s="89"/>
      <c r="M76" s="12"/>
      <c r="N76" s="12"/>
      <c r="O76" s="12"/>
      <c r="P76" s="12"/>
      <c r="Q76" s="62"/>
      <c r="R76" s="12"/>
      <c r="S76" s="12"/>
      <c r="T76" s="12"/>
      <c r="U76" s="12"/>
      <c r="V76" s="62"/>
      <c r="W76" s="12"/>
      <c r="X76" s="12"/>
      <c r="Y76" s="12"/>
      <c r="Z76" s="12"/>
      <c r="AA76" s="62"/>
      <c r="AB76" s="12"/>
      <c r="AC76" s="12"/>
      <c r="AD76" s="12"/>
      <c r="AE76" s="12"/>
      <c r="AF76" s="62"/>
      <c r="AG76" s="12"/>
      <c r="AH76" s="12"/>
      <c r="AI76" s="12"/>
      <c r="AJ76" s="12"/>
      <c r="AK76" s="62"/>
      <c r="AL76" s="12"/>
      <c r="AM76" s="12"/>
      <c r="AN76" s="12"/>
      <c r="AO76" s="12"/>
      <c r="AP76" s="62"/>
      <c r="AQ76" s="12"/>
      <c r="AR76" s="12"/>
      <c r="AS76" s="12"/>
      <c r="AT76" s="12"/>
      <c r="AU76" s="62"/>
      <c r="AV76" s="12"/>
      <c r="AW76" s="12"/>
      <c r="AX76" s="12"/>
      <c r="AY76" s="12"/>
      <c r="AZ76" s="31"/>
    </row>
    <row r="77" spans="10:52">
      <c r="K77" s="66"/>
      <c r="L77" s="89"/>
      <c r="M77" s="12" t="s">
        <v>57</v>
      </c>
      <c r="N77" s="12"/>
      <c r="O77" s="12" t="s">
        <v>59</v>
      </c>
      <c r="P77" s="16"/>
      <c r="Q77" s="62"/>
      <c r="R77" s="12" t="s">
        <v>57</v>
      </c>
      <c r="S77" s="12"/>
      <c r="T77" s="12" t="s">
        <v>59</v>
      </c>
      <c r="U77" s="16"/>
      <c r="V77" s="62"/>
      <c r="W77" s="12" t="s">
        <v>57</v>
      </c>
      <c r="X77" s="12"/>
      <c r="Y77" s="12" t="s">
        <v>59</v>
      </c>
      <c r="Z77" s="16"/>
      <c r="AA77" s="62"/>
      <c r="AB77" s="12" t="s">
        <v>57</v>
      </c>
      <c r="AC77" s="12"/>
      <c r="AD77" s="12" t="s">
        <v>59</v>
      </c>
      <c r="AE77" s="16"/>
      <c r="AF77" s="62"/>
      <c r="AG77" s="12" t="s">
        <v>57</v>
      </c>
      <c r="AH77" s="12"/>
      <c r="AI77" s="12" t="s">
        <v>59</v>
      </c>
      <c r="AJ77" s="16"/>
      <c r="AK77" s="62"/>
      <c r="AL77" s="12" t="s">
        <v>57</v>
      </c>
      <c r="AM77" s="12"/>
      <c r="AN77" s="12" t="s">
        <v>59</v>
      </c>
      <c r="AO77" s="16"/>
      <c r="AP77" s="62"/>
      <c r="AQ77" s="12" t="s">
        <v>57</v>
      </c>
      <c r="AR77" s="12"/>
      <c r="AS77" s="12" t="s">
        <v>59</v>
      </c>
      <c r="AT77" s="16"/>
      <c r="AU77" s="62"/>
      <c r="AV77" s="12" t="s">
        <v>57</v>
      </c>
      <c r="AW77" s="12"/>
      <c r="AX77" s="12" t="s">
        <v>59</v>
      </c>
      <c r="AY77" s="16"/>
      <c r="AZ77" s="31"/>
    </row>
    <row r="78" spans="10:52">
      <c r="K78" s="66"/>
      <c r="L78" s="89"/>
      <c r="M78" s="12" t="s">
        <v>58</v>
      </c>
      <c r="N78" s="12"/>
      <c r="O78" s="12" t="s">
        <v>60</v>
      </c>
      <c r="P78" s="16"/>
      <c r="Q78" s="62"/>
      <c r="R78" s="12" t="s">
        <v>58</v>
      </c>
      <c r="S78" s="12"/>
      <c r="T78" s="12" t="s">
        <v>60</v>
      </c>
      <c r="U78" s="16"/>
      <c r="V78" s="62"/>
      <c r="W78" s="12" t="s">
        <v>58</v>
      </c>
      <c r="X78" s="12"/>
      <c r="Y78" s="12" t="s">
        <v>60</v>
      </c>
      <c r="Z78" s="16"/>
      <c r="AA78" s="62"/>
      <c r="AB78" s="12" t="s">
        <v>58</v>
      </c>
      <c r="AC78" s="12"/>
      <c r="AD78" s="12" t="s">
        <v>60</v>
      </c>
      <c r="AE78" s="16"/>
      <c r="AF78" s="62"/>
      <c r="AG78" s="12" t="s">
        <v>58</v>
      </c>
      <c r="AH78" s="12"/>
      <c r="AI78" s="12" t="s">
        <v>60</v>
      </c>
      <c r="AJ78" s="16"/>
      <c r="AK78" s="62"/>
      <c r="AL78" s="12" t="s">
        <v>58</v>
      </c>
      <c r="AM78" s="12"/>
      <c r="AN78" s="12" t="s">
        <v>60</v>
      </c>
      <c r="AO78" s="16"/>
      <c r="AP78" s="62"/>
      <c r="AQ78" s="12" t="s">
        <v>58</v>
      </c>
      <c r="AR78" s="12"/>
      <c r="AS78" s="12" t="s">
        <v>60</v>
      </c>
      <c r="AT78" s="16"/>
      <c r="AU78" s="62"/>
      <c r="AV78" s="12" t="s">
        <v>58</v>
      </c>
      <c r="AW78" s="12"/>
      <c r="AX78" s="12" t="s">
        <v>60</v>
      </c>
      <c r="AY78" s="16"/>
      <c r="AZ78" s="31"/>
    </row>
    <row r="79" spans="10:52">
      <c r="K79" s="66"/>
      <c r="L79" s="89"/>
      <c r="M79" s="12" t="s">
        <v>276</v>
      </c>
      <c r="N79" s="16"/>
      <c r="O79" s="12" t="s">
        <v>278</v>
      </c>
      <c r="P79" s="16"/>
      <c r="Q79" s="62"/>
      <c r="R79" s="12" t="s">
        <v>276</v>
      </c>
      <c r="S79" s="16"/>
      <c r="T79" s="12" t="s">
        <v>278</v>
      </c>
      <c r="U79" s="16"/>
      <c r="V79" s="62"/>
      <c r="W79" s="12" t="s">
        <v>276</v>
      </c>
      <c r="X79" s="16"/>
      <c r="Y79" s="12" t="s">
        <v>278</v>
      </c>
      <c r="Z79" s="16"/>
      <c r="AA79" s="62"/>
      <c r="AB79" s="12" t="s">
        <v>276</v>
      </c>
      <c r="AC79" s="16"/>
      <c r="AD79" s="12" t="s">
        <v>278</v>
      </c>
      <c r="AE79" s="16"/>
      <c r="AF79" s="62"/>
      <c r="AG79" s="12" t="s">
        <v>276</v>
      </c>
      <c r="AH79" s="16"/>
      <c r="AI79" s="12" t="s">
        <v>278</v>
      </c>
      <c r="AJ79" s="16"/>
      <c r="AK79" s="62"/>
      <c r="AL79" s="12" t="s">
        <v>276</v>
      </c>
      <c r="AM79" s="16"/>
      <c r="AN79" s="12" t="s">
        <v>278</v>
      </c>
      <c r="AO79" s="16"/>
      <c r="AP79" s="62"/>
      <c r="AQ79" s="12" t="s">
        <v>276</v>
      </c>
      <c r="AR79" s="16"/>
      <c r="AS79" s="12" t="s">
        <v>278</v>
      </c>
      <c r="AT79" s="16"/>
      <c r="AU79" s="62"/>
      <c r="AV79" s="12" t="s">
        <v>276</v>
      </c>
      <c r="AW79" s="16"/>
      <c r="AX79" s="12" t="s">
        <v>278</v>
      </c>
      <c r="AY79" s="16"/>
      <c r="AZ79" s="31"/>
    </row>
    <row r="80" spans="10:52">
      <c r="K80" s="66"/>
      <c r="L80" s="78"/>
      <c r="M80" s="12" t="s">
        <v>277</v>
      </c>
      <c r="N80" s="16"/>
      <c r="O80" s="12" t="s">
        <v>279</v>
      </c>
      <c r="P80" s="16"/>
      <c r="Q80" s="62"/>
      <c r="R80" s="12" t="s">
        <v>277</v>
      </c>
      <c r="S80" s="16"/>
      <c r="T80" s="12" t="s">
        <v>279</v>
      </c>
      <c r="U80" s="16"/>
      <c r="V80" s="62"/>
      <c r="W80" s="12" t="s">
        <v>277</v>
      </c>
      <c r="X80" s="16"/>
      <c r="Y80" s="12" t="s">
        <v>279</v>
      </c>
      <c r="Z80" s="16"/>
      <c r="AA80" s="62"/>
      <c r="AB80" s="12" t="s">
        <v>277</v>
      </c>
      <c r="AC80" s="16"/>
      <c r="AD80" s="12" t="s">
        <v>279</v>
      </c>
      <c r="AE80" s="16"/>
      <c r="AF80" s="62"/>
      <c r="AG80" s="12" t="s">
        <v>277</v>
      </c>
      <c r="AH80" s="16"/>
      <c r="AI80" s="12" t="s">
        <v>279</v>
      </c>
      <c r="AJ80" s="16"/>
      <c r="AK80" s="62"/>
      <c r="AL80" s="12" t="s">
        <v>277</v>
      </c>
      <c r="AM80" s="16"/>
      <c r="AN80" s="12" t="s">
        <v>279</v>
      </c>
      <c r="AO80" s="16"/>
      <c r="AP80" s="62"/>
      <c r="AQ80" s="12" t="s">
        <v>277</v>
      </c>
      <c r="AR80" s="16"/>
      <c r="AS80" s="12" t="s">
        <v>279</v>
      </c>
      <c r="AT80" s="16"/>
      <c r="AU80" s="62"/>
      <c r="AV80" s="12" t="s">
        <v>277</v>
      </c>
      <c r="AW80" s="16"/>
      <c r="AX80" s="12" t="s">
        <v>279</v>
      </c>
      <c r="AY80" s="16"/>
      <c r="AZ80" s="31"/>
    </row>
    <row r="81" spans="11:51">
      <c r="L81" s="75" t="s">
        <v>235</v>
      </c>
      <c r="M81" s="79" t="s">
        <v>289</v>
      </c>
      <c r="N81" s="80"/>
      <c r="O81" s="81"/>
      <c r="P81" s="12" cm="1">
        <f t="array" ref="P81">IF(N70=0,0,IF(P72=0,IF($J$3&lt;=P77,P79,IF($J$3&gt;P78,P80,P79+(($J$3-P77)*(P80-P79)/(P78-P77)))),IF(AND($J$3&gt;(P77-P72),$J$3&lt;=P77),P79+((P80-P79)*($J$3-(P77-P72))/P72),IF(AND($J$3&gt;P77,$J$3&lt;=P78),P80,IF(AND($J$3&gt;P78,$J$3&lt;=(P78+P72)),P79+((P80-P79)*((P78-P72)-$J$3)/P72,P77))))))</f>
        <v>0</v>
      </c>
      <c r="Q81" s="12"/>
      <c r="R81" s="79" t="s">
        <v>289</v>
      </c>
      <c r="S81" s="80"/>
      <c r="T81" s="81"/>
      <c r="U81" s="12" cm="1">
        <f t="array" ref="U81">IF(S70=0,0,IF(U72=0,IF($J$3&lt;=U77,U79,IF($J$3&gt;U78,U80,U79+(($J$3-U77)*(U80-U79)/(U78-U77)))),IF(AND($J$3&gt;(U77-U72),$J$3&lt;=U77),U79+((U80-U79)*($J$3-(U77-U72))/U72),IF(AND($J$3&gt;U77,$J$3&lt;=U78),U80,IF(AND($J$3&gt;U78,$J$3&lt;=(U78+U72)),U79+((U80-U79)*((U78-U72)-$J$3)/U72,U77))))))</f>
        <v>0</v>
      </c>
      <c r="V81" s="12"/>
      <c r="W81" s="79" t="s">
        <v>289</v>
      </c>
      <c r="X81" s="80"/>
      <c r="Y81" s="81"/>
      <c r="Z81" s="12" cm="1">
        <f t="array" ref="Z81">IF(X70=0,0,IF(Z72=0,IF($J$3&lt;=Z77,Z79,IF($J$3&gt;Z78,Z80,Z79+(($J$3-Z77)*(Z80-Z79)/(Z78-Z77)))),IF(AND($J$3&gt;(Z77-Z72),$J$3&lt;=Z77),Z79+((Z80-Z79)*($J$3-(Z77-Z72))/Z72),IF(AND($J$3&gt;Z77,$J$3&lt;=Z78),Z80,IF(AND($J$3&gt;Z78,$J$3&lt;=(Z78+Z72)),Z79+((Z80-Z79)*((Z78-Z72)-$J$3)/Z72,Z77))))))</f>
        <v>0</v>
      </c>
      <c r="AA81" s="12"/>
      <c r="AB81" s="79" t="s">
        <v>289</v>
      </c>
      <c r="AC81" s="80"/>
      <c r="AD81" s="81"/>
      <c r="AE81" s="12" cm="1">
        <f t="array" ref="AE81">IF(AC70=0,0,IF(AE72=0,IF($J$3&lt;=AE77,AE79,IF($J$3&gt;AE78,AE80,AE79+(($J$3-AE77)*(AE80-AE79)/(AE78-AE77)))),IF(AND($J$3&gt;(AE77-AE72),$J$3&lt;=AE77),AE79+((AE80-AE79)*($J$3-(AE77-AE72))/AE72),IF(AND($J$3&gt;AE77,$J$3&lt;=AE78),AE80,IF(AND($J$3&gt;AE78,$J$3&lt;=(AE78+AE72)),AE79+((AE80-AE79)*((AE78-AE72)-$J$3)/AE72,AE77))))))</f>
        <v>0</v>
      </c>
      <c r="AF81" s="12"/>
      <c r="AG81" s="79" t="s">
        <v>289</v>
      </c>
      <c r="AH81" s="80"/>
      <c r="AI81" s="81"/>
      <c r="AJ81" s="12" cm="1">
        <f t="array" ref="AJ81">IF(AH70=0,0,IF(AJ72=0,IF($J$3&lt;=AJ77,AJ79,IF($J$3&gt;AJ78,AJ80,AJ79+(($J$3-AJ77)*(AJ80-AJ79)/(AJ78-AJ77)))),IF(AND($J$3&gt;(AJ77-AJ72),$J$3&lt;=AJ77),AJ79+((AJ80-AJ79)*($J$3-(AJ77-AJ72))/AJ72),IF(AND($J$3&gt;AJ77,$J$3&lt;=AJ78),AJ80,IF(AND($J$3&gt;AJ78,$J$3&lt;=(AJ78+AJ72)),AJ79+((AJ80-AJ79)*((AJ78-AJ72)-$J$3)/AJ72,AJ77))))))</f>
        <v>0</v>
      </c>
      <c r="AK81" s="12"/>
      <c r="AL81" s="79" t="s">
        <v>289</v>
      </c>
      <c r="AM81" s="80"/>
      <c r="AN81" s="81"/>
      <c r="AO81" s="12" cm="1">
        <f t="array" ref="AO81">IF(AM70=0,0,IF(AO72=0,IF($J$3&lt;=AO77,AO79,IF($J$3&gt;AO78,AO80,AO79+(($J$3-AO77)*(AO80-AO79)/(AO78-AO77)))),IF(AND($J$3&gt;(AO77-AO72),$J$3&lt;=AO77),AO79+((AO80-AO79)*($J$3-(AO77-AO72))/AO72),IF(AND($J$3&gt;AO77,$J$3&lt;=AO78),AO80,IF(AND($J$3&gt;AO78,$J$3&lt;=(AO78+AO72)),AO79+((AO80-AO79)*((AO78-AO72)-$J$3)/AO72,AO77))))))</f>
        <v>0</v>
      </c>
      <c r="AP81" s="12"/>
      <c r="AQ81" s="79" t="s">
        <v>289</v>
      </c>
      <c r="AR81" s="80"/>
      <c r="AS81" s="81"/>
      <c r="AT81" s="12" cm="1">
        <f t="array" ref="AT81">IF(AR70=0,0,IF(AT72=0,IF($J$3&lt;=AT77,AT79,IF($J$3&gt;AT78,AT80,AT79+(($J$3-AT77)*(AT80-AT79)/(AT78-AT77)))),IF(AND($J$3&gt;(AT77-AT72),$J$3&lt;=AT77),AT79+((AT80-AT79)*($J$3-(AT77-AT72))/AT72),IF(AND($J$3&gt;AT77,$J$3&lt;=AT78),AT80,IF(AND($J$3&gt;AT78,$J$3&lt;=(AT78+AT72)),AT79+((AT80-AT79)*((AT78-AT72)-$J$3)/AT72,AT77))))))</f>
        <v>0</v>
      </c>
      <c r="AU81" s="30"/>
      <c r="AV81" s="79" t="s">
        <v>289</v>
      </c>
      <c r="AW81" s="80"/>
      <c r="AX81" s="81"/>
      <c r="AY81" s="12" cm="1">
        <f t="array" ref="AY81">IF(AW70=0,0,IF(AY72=0,IF($J$3&lt;=AY77,AY79,IF($J$3&gt;AY78,AY80,AY79+(($J$3-AY77)*(AY80-AY79)/(AY78-AY77)))),IF(AND($J$3&gt;(AY77-AY72),$J$3&lt;=AY77),AY79+((AY80-AY79)*($J$3-(AY77-AY72))/AY72),IF(AND($J$3&gt;AY77,$J$3&lt;=AY78),AY80,IF(AND($J$3&gt;AY78,$J$3&lt;=(AY78+AY72)),AY79+((AY80-AY79)*((AY78-AY72)-$J$3)/AY72,AY77))))))</f>
        <v>0</v>
      </c>
    </row>
    <row r="82" spans="11:51">
      <c r="L82" s="90"/>
      <c r="M82" s="12" t="s">
        <v>284</v>
      </c>
      <c r="N82" s="12">
        <f>P81</f>
        <v>0</v>
      </c>
      <c r="O82" s="22" t="s">
        <v>285</v>
      </c>
      <c r="P82" s="12">
        <f>IF(P70&gt;N80,N82,IF(P70&lt;=N79,0,N82*(P70-N79)/(N80-N79)))</f>
        <v>0</v>
      </c>
      <c r="Q82" s="12"/>
      <c r="R82" s="12" t="s">
        <v>284</v>
      </c>
      <c r="S82" s="12">
        <f>U81</f>
        <v>0</v>
      </c>
      <c r="T82" s="22" t="s">
        <v>285</v>
      </c>
      <c r="U82" s="12">
        <f>IF(U70&gt;S80,S82,IF(U70&lt;=S79,0,S82*(U70-S79)/(S80-S79)))</f>
        <v>0</v>
      </c>
      <c r="V82" s="12"/>
      <c r="W82" s="12" t="s">
        <v>284</v>
      </c>
      <c r="X82" s="12">
        <f>Z81</f>
        <v>0</v>
      </c>
      <c r="Y82" s="22" t="s">
        <v>285</v>
      </c>
      <c r="Z82" s="12">
        <f>IF(Z70&gt;X80,X82,IF(Z70&lt;=X79,0,X82*(Z70-X79)/(X80-X79)))</f>
        <v>0</v>
      </c>
      <c r="AA82" s="12"/>
      <c r="AB82" s="12" t="s">
        <v>284</v>
      </c>
      <c r="AC82" s="12">
        <f>AE81</f>
        <v>0</v>
      </c>
      <c r="AD82" s="22" t="s">
        <v>285</v>
      </c>
      <c r="AE82" s="12">
        <f>IF(AE70&gt;AC80,AC82,IF(AE70&lt;=AC79,0,AC82*(AE70-AC79)/(AC80-AC79)))</f>
        <v>0</v>
      </c>
      <c r="AF82" s="12"/>
      <c r="AG82" s="12" t="s">
        <v>284</v>
      </c>
      <c r="AH82" s="12">
        <f>AJ81</f>
        <v>0</v>
      </c>
      <c r="AI82" s="22" t="s">
        <v>285</v>
      </c>
      <c r="AJ82" s="12">
        <f>IF(AJ70&gt;AH80,AH82,IF(AJ70&lt;=AH79,0,AH82*(AJ70-AH79)/(AH80-AH79)))</f>
        <v>0</v>
      </c>
      <c r="AK82" s="12"/>
      <c r="AL82" s="12" t="s">
        <v>284</v>
      </c>
      <c r="AM82" s="12">
        <f>AO81</f>
        <v>0</v>
      </c>
      <c r="AN82" s="22" t="s">
        <v>285</v>
      </c>
      <c r="AO82" s="12">
        <f>IF(AO70&gt;AM80,AM82,IF(AO70&lt;=AM79,0,AM82*(AO70-AM79)/(AM80-AM79)))</f>
        <v>0</v>
      </c>
      <c r="AP82" s="12"/>
      <c r="AQ82" s="12" t="s">
        <v>284</v>
      </c>
      <c r="AR82" s="12">
        <f>AT81</f>
        <v>0</v>
      </c>
      <c r="AS82" s="22" t="s">
        <v>285</v>
      </c>
      <c r="AT82" s="12">
        <f>IF(AT70&gt;AR80,AR82,IF(AT70&lt;=AR79,0,AR82*(AT70-AR79)/(AR80-AR79)))</f>
        <v>0</v>
      </c>
      <c r="AU82" s="30"/>
      <c r="AV82" s="12" t="s">
        <v>284</v>
      </c>
      <c r="AW82" s="12">
        <f>AY81</f>
        <v>0</v>
      </c>
      <c r="AX82" s="22" t="s">
        <v>285</v>
      </c>
      <c r="AY82" s="12">
        <f>IF(AY70&gt;AW80,AW82,IF(AY70&lt;=AW79,0,AW82*(AY70-AW79)/(AW80-AW79)))</f>
        <v>0</v>
      </c>
    </row>
    <row r="83" spans="11:51">
      <c r="L83" s="76"/>
      <c r="M83" s="12" t="s">
        <v>286</v>
      </c>
      <c r="N83" s="12">
        <f>P82</f>
        <v>0</v>
      </c>
      <c r="O83" s="12" t="s">
        <v>287</v>
      </c>
      <c r="P83" s="12" t="e">
        <f>IF(P71&gt;N71,N83,N83*P71/N71)</f>
        <v>#DIV/0!</v>
      </c>
      <c r="Q83" s="12"/>
      <c r="R83" s="12" t="s">
        <v>286</v>
      </c>
      <c r="S83" s="12">
        <f>U82</f>
        <v>0</v>
      </c>
      <c r="T83" s="12" t="s">
        <v>287</v>
      </c>
      <c r="U83" s="12" t="e">
        <f>IF(U71&gt;S71,S83,S83*U71/S71)</f>
        <v>#DIV/0!</v>
      </c>
      <c r="V83" s="12"/>
      <c r="W83" s="12" t="s">
        <v>286</v>
      </c>
      <c r="X83" s="12">
        <f>Z82</f>
        <v>0</v>
      </c>
      <c r="Y83" s="12" t="s">
        <v>287</v>
      </c>
      <c r="Z83" s="12" t="e">
        <f>IF(Z71&gt;X71,X83,X83*Z71/X71)</f>
        <v>#DIV/0!</v>
      </c>
      <c r="AA83" s="12"/>
      <c r="AB83" s="12" t="s">
        <v>286</v>
      </c>
      <c r="AC83" s="12">
        <f>AE82</f>
        <v>0</v>
      </c>
      <c r="AD83" s="12" t="s">
        <v>287</v>
      </c>
      <c r="AE83" s="12" t="e">
        <f>IF(AE71&gt;AC71,AC83,AC83*AE71/AC71)</f>
        <v>#DIV/0!</v>
      </c>
      <c r="AF83" s="12"/>
      <c r="AG83" s="12" t="s">
        <v>286</v>
      </c>
      <c r="AH83" s="12">
        <f>AJ82</f>
        <v>0</v>
      </c>
      <c r="AI83" s="12" t="s">
        <v>287</v>
      </c>
      <c r="AJ83" s="12" t="e">
        <f>IF(AJ71&gt;AH71,AH83,AH83*AJ71/AH71)</f>
        <v>#DIV/0!</v>
      </c>
      <c r="AK83" s="12"/>
      <c r="AL83" s="12" t="s">
        <v>286</v>
      </c>
      <c r="AM83" s="12">
        <f>AO82</f>
        <v>0</v>
      </c>
      <c r="AN83" s="12" t="s">
        <v>287</v>
      </c>
      <c r="AO83" s="12" t="e">
        <f>IF(AO71&gt;AM71,AM83,AM83*AO71/AM71)</f>
        <v>#DIV/0!</v>
      </c>
      <c r="AP83" s="12"/>
      <c r="AQ83" s="12" t="s">
        <v>286</v>
      </c>
      <c r="AR83" s="12">
        <f>AT82</f>
        <v>0</v>
      </c>
      <c r="AS83" s="12" t="s">
        <v>287</v>
      </c>
      <c r="AT83" s="12" t="e">
        <f>IF(AT71&gt;AR71,AR83,AR83*AT71/AR71)</f>
        <v>#DIV/0!</v>
      </c>
      <c r="AU83" s="30"/>
      <c r="AV83" s="12" t="s">
        <v>286</v>
      </c>
      <c r="AW83" s="12">
        <f>AY82</f>
        <v>0</v>
      </c>
      <c r="AX83" s="12" t="s">
        <v>287</v>
      </c>
      <c r="AY83" s="12" t="e">
        <f>IF(AY71&gt;AW71,AW83,AW83*AY71/AW71)</f>
        <v>#DIV/0!</v>
      </c>
    </row>
    <row r="84" spans="11:51">
      <c r="L84" s="75" t="s">
        <v>291</v>
      </c>
      <c r="M84" s="22" t="s">
        <v>280</v>
      </c>
      <c r="N84" s="12" t="e">
        <f>(P35*$J$30/100+U35*$J$31/100+Z35*$J$32/100+AE35*$J$33/100+AJ35*$J$34/100+AO35*$J$35/100+AT35*$J$36/100)</f>
        <v>#DIV/0!</v>
      </c>
      <c r="O84" s="41" t="s">
        <v>282</v>
      </c>
      <c r="P84" s="12" t="e">
        <f>IF(N70=0,N84,(N74/$H$7*512*(P83/100))+(N84*(1-(P83/100))))</f>
        <v>#DIV/0!</v>
      </c>
      <c r="Q84" s="12"/>
      <c r="R84" s="22" t="s">
        <v>280</v>
      </c>
      <c r="S84" s="12" t="e">
        <f>P84</f>
        <v>#DIV/0!</v>
      </c>
      <c r="T84" s="41" t="s">
        <v>282</v>
      </c>
      <c r="U84" s="12" t="e">
        <f>IF(S70=0,S84,(S74/$H$7*512*(U83/100))+(S84*(1-(U83/100))))</f>
        <v>#DIV/0!</v>
      </c>
      <c r="V84" s="12"/>
      <c r="W84" s="22" t="s">
        <v>280</v>
      </c>
      <c r="X84" s="12" t="e">
        <f>U84</f>
        <v>#DIV/0!</v>
      </c>
      <c r="Y84" s="41" t="s">
        <v>282</v>
      </c>
      <c r="Z84" s="12" t="e">
        <f>IF(X70=0,X84,(X74/$H$7*512*(Z83/100))+(X84*(1-(Z83/100))))</f>
        <v>#DIV/0!</v>
      </c>
      <c r="AA84" s="12"/>
      <c r="AB84" s="22" t="s">
        <v>280</v>
      </c>
      <c r="AC84" s="12" t="e">
        <f>Z84</f>
        <v>#DIV/0!</v>
      </c>
      <c r="AD84" s="41" t="s">
        <v>282</v>
      </c>
      <c r="AE84" s="12" t="e">
        <f>IF(AC70=0,AC84,(AC74/$H$7*512*(AE83/100))+(AC84*(1-(AE83/100))))</f>
        <v>#DIV/0!</v>
      </c>
      <c r="AF84" s="12"/>
      <c r="AG84" s="22" t="s">
        <v>280</v>
      </c>
      <c r="AH84" s="12" t="e">
        <f>AE84</f>
        <v>#DIV/0!</v>
      </c>
      <c r="AI84" s="41" t="s">
        <v>282</v>
      </c>
      <c r="AJ84" s="12" t="e">
        <f>IF(AH70=0,AH84,(AH74/$H$7*512*(AJ83/100))+(AH84*(1-(AJ83/100))))</f>
        <v>#DIV/0!</v>
      </c>
      <c r="AK84" s="12"/>
      <c r="AL84" s="22" t="s">
        <v>280</v>
      </c>
      <c r="AM84" s="12" t="e">
        <f>AJ84</f>
        <v>#DIV/0!</v>
      </c>
      <c r="AN84" s="41" t="s">
        <v>282</v>
      </c>
      <c r="AO84" s="12" t="e">
        <f>IF(AM70=0,AM84,(AM74/$H$7*512*(AO83/100))+(AM84*(1-(AO83/100))))</f>
        <v>#DIV/0!</v>
      </c>
      <c r="AP84" s="12"/>
      <c r="AQ84" s="22" t="s">
        <v>280</v>
      </c>
      <c r="AR84" s="12" t="e">
        <f>AO84</f>
        <v>#DIV/0!</v>
      </c>
      <c r="AS84" s="41" t="s">
        <v>282</v>
      </c>
      <c r="AT84" s="12" t="e">
        <f>IF(AR70=0,AR84,(AR74/$H$7*512*(AT83/100))+(AR84*(1-(AT83/100))))</f>
        <v>#DIV/0!</v>
      </c>
      <c r="AU84" s="30"/>
      <c r="AV84" s="22" t="s">
        <v>280</v>
      </c>
      <c r="AW84" s="12" t="e">
        <f>AT84</f>
        <v>#DIV/0!</v>
      </c>
      <c r="AX84" s="41" t="s">
        <v>282</v>
      </c>
      <c r="AY84" s="12" t="e">
        <f>IF(AW70=0,AW84,(AW74/$H$7*512*(AY83/100))+(AW84*(1-(AY83/100))))</f>
        <v>#DIV/0!</v>
      </c>
    </row>
    <row r="85" spans="11:51">
      <c r="L85" s="76"/>
      <c r="M85" s="41" t="s">
        <v>281</v>
      </c>
      <c r="N85" s="12" t="e">
        <f>(P36*$J$30/100+U36*$J$31/100+Z36*$J$32/100+AE36*$J$33/100+AJ36*$J$34/100+AO36*$J$35/100+AT36*$J$36/100)</f>
        <v>#DIV/0!</v>
      </c>
      <c r="O85" s="41" t="s">
        <v>283</v>
      </c>
      <c r="P85" s="12" t="e">
        <f>IF(N70=0,N85,(P74/$J$7*512*(P83/100))+(N85*(1-(P83/100))))</f>
        <v>#DIV/0!</v>
      </c>
      <c r="Q85" s="12"/>
      <c r="R85" s="41" t="s">
        <v>281</v>
      </c>
      <c r="S85" s="12" t="e">
        <f>P85</f>
        <v>#DIV/0!</v>
      </c>
      <c r="T85" s="41" t="s">
        <v>283</v>
      </c>
      <c r="U85" s="12" t="e">
        <f>IF(S70=0,S85,(U74/$J$7*512*(U83/100))+(S85*(1-(U83/100))))</f>
        <v>#DIV/0!</v>
      </c>
      <c r="V85" s="12"/>
      <c r="W85" s="41" t="s">
        <v>281</v>
      </c>
      <c r="X85" s="12" t="e">
        <f>U85</f>
        <v>#DIV/0!</v>
      </c>
      <c r="Y85" s="41" t="s">
        <v>283</v>
      </c>
      <c r="Z85" s="12" t="e">
        <f>IF(X70=0,X85,(Z74/$J$7*512*(Z83/100))+(X85*(1-(Z83/100))))</f>
        <v>#DIV/0!</v>
      </c>
      <c r="AA85" s="12"/>
      <c r="AB85" s="41" t="s">
        <v>281</v>
      </c>
      <c r="AC85" s="12" t="e">
        <f>Z85</f>
        <v>#DIV/0!</v>
      </c>
      <c r="AD85" s="41" t="s">
        <v>283</v>
      </c>
      <c r="AE85" s="12" t="e">
        <f>IF(AC70=0,AC85,(AE74/$J$7*512*(AE83/100))+(AC85*(1-(AE83/100))))</f>
        <v>#DIV/0!</v>
      </c>
      <c r="AF85" s="12"/>
      <c r="AG85" s="41" t="s">
        <v>281</v>
      </c>
      <c r="AH85" s="12" t="e">
        <f>AE85</f>
        <v>#DIV/0!</v>
      </c>
      <c r="AI85" s="41" t="s">
        <v>283</v>
      </c>
      <c r="AJ85" s="12" t="e">
        <f>IF(AH70=0,AH85,(AJ74/$J$7*512*(AJ83/100))+(AH85*(1-(AJ83/100))))</f>
        <v>#DIV/0!</v>
      </c>
      <c r="AK85" s="12"/>
      <c r="AL85" s="41" t="s">
        <v>281</v>
      </c>
      <c r="AM85" s="12" t="e">
        <f>AJ85</f>
        <v>#DIV/0!</v>
      </c>
      <c r="AN85" s="41" t="s">
        <v>283</v>
      </c>
      <c r="AO85" s="12" t="e">
        <f>IF(AM70=0,AM85,(AO74/$J$7*512*(AO83/100))+(AM85*(1-(AO83/100))))</f>
        <v>#DIV/0!</v>
      </c>
      <c r="AP85" s="12"/>
      <c r="AQ85" s="41" t="s">
        <v>281</v>
      </c>
      <c r="AR85" s="12" t="e">
        <f>AO85</f>
        <v>#DIV/0!</v>
      </c>
      <c r="AS85" s="41" t="s">
        <v>283</v>
      </c>
      <c r="AT85" s="12" t="e">
        <f>IF(AR70=0,AR85,(AT74/$J$7*512*(AT83/100))+(AR85*(1-(AT83/100))))</f>
        <v>#DIV/0!</v>
      </c>
      <c r="AU85" s="30"/>
      <c r="AV85" s="41" t="s">
        <v>281</v>
      </c>
      <c r="AW85" s="12" t="e">
        <f>AT85</f>
        <v>#DIV/0!</v>
      </c>
      <c r="AX85" s="41" t="s">
        <v>283</v>
      </c>
      <c r="AY85" s="12" t="e">
        <f>IF(AW70=0,AW85,(AY74/$J$7*512*(AY83/100))+(AW85*(1-(AY83/100))))</f>
        <v>#DIV/0!</v>
      </c>
    </row>
    <row r="86" spans="11:51"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</row>
    <row r="87" spans="11:51"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</row>
    <row r="88" spans="11:51"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</row>
    <row r="89" spans="11:51"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</row>
    <row r="90" spans="11:51"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</row>
    <row r="91" spans="11:51"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</row>
    <row r="92" spans="11:51"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</row>
    <row r="93" spans="11:51"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</row>
    <row r="94" spans="11:51"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</row>
    <row r="95" spans="11:51"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</row>
    <row r="96" spans="11:51"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</row>
    <row r="97" spans="11:47"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</row>
    <row r="98" spans="11:47"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</row>
    <row r="99" spans="11:47"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</row>
    <row r="100" spans="11:47"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</row>
    <row r="101" spans="11:47"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</row>
    <row r="102" spans="11:47"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</row>
    <row r="103" spans="11:47"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</row>
    <row r="104" spans="11:47"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</row>
    <row r="105" spans="11:47"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</row>
    <row r="106" spans="11:47"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</row>
  </sheetData>
  <mergeCells count="262">
    <mergeCell ref="AV81:AX81"/>
    <mergeCell ref="N65:AY66"/>
    <mergeCell ref="AL21:AM21"/>
    <mergeCell ref="AG21:AH21"/>
    <mergeCell ref="R21:S21"/>
    <mergeCell ref="W49:Y49"/>
    <mergeCell ref="AL36:AN36"/>
    <mergeCell ref="AQ36:AS36"/>
    <mergeCell ref="AG35:AI35"/>
    <mergeCell ref="AL35:AN35"/>
    <mergeCell ref="AQ35:AS35"/>
    <mergeCell ref="M50:O50"/>
    <mergeCell ref="AB57:AD57"/>
    <mergeCell ref="AB36:AD36"/>
    <mergeCell ref="AG36:AI36"/>
    <mergeCell ref="M67:P67"/>
    <mergeCell ref="R67:U67"/>
    <mergeCell ref="AL31:AN31"/>
    <mergeCell ref="M31:O31"/>
    <mergeCell ref="R31:T31"/>
    <mergeCell ref="W31:Y31"/>
    <mergeCell ref="AB31:AD31"/>
    <mergeCell ref="R32:T32"/>
    <mergeCell ref="W32:Y32"/>
    <mergeCell ref="R11:R13"/>
    <mergeCell ref="AQ31:AS31"/>
    <mergeCell ref="AL32:AN32"/>
    <mergeCell ref="AV21:AW21"/>
    <mergeCell ref="O19:AY20"/>
    <mergeCell ref="AV67:AY67"/>
    <mergeCell ref="AV68:AV69"/>
    <mergeCell ref="AV73:AV74"/>
    <mergeCell ref="B22:D22"/>
    <mergeCell ref="G22:I22"/>
    <mergeCell ref="B14:D14"/>
    <mergeCell ref="B20:D20"/>
    <mergeCell ref="G20:I20"/>
    <mergeCell ref="L14:N14"/>
    <mergeCell ref="B15:D15"/>
    <mergeCell ref="L15:P15"/>
    <mergeCell ref="B16:D16"/>
    <mergeCell ref="L16:N16"/>
    <mergeCell ref="AB32:AD32"/>
    <mergeCell ref="W11:X11"/>
    <mergeCell ref="W14:X14"/>
    <mergeCell ref="AG32:AI32"/>
    <mergeCell ref="B31:D31"/>
    <mergeCell ref="G31:I31"/>
    <mergeCell ref="E8:J9"/>
    <mergeCell ref="AB58:AD58"/>
    <mergeCell ref="AB59:AD59"/>
    <mergeCell ref="AB60:AD60"/>
    <mergeCell ref="AQ34:AS34"/>
    <mergeCell ref="AB35:AD35"/>
    <mergeCell ref="AQ41:AS41"/>
    <mergeCell ref="L29:AT30"/>
    <mergeCell ref="AG49:AI49"/>
    <mergeCell ref="AL49:AN49"/>
    <mergeCell ref="AQ49:AS49"/>
    <mergeCell ref="AB34:AD34"/>
    <mergeCell ref="AG34:AI34"/>
    <mergeCell ref="AL34:AN34"/>
    <mergeCell ref="AG41:AI41"/>
    <mergeCell ref="R41:T41"/>
    <mergeCell ref="W41:Y41"/>
    <mergeCell ref="R44:T44"/>
    <mergeCell ref="W44:Y44"/>
    <mergeCell ref="L58:M58"/>
    <mergeCell ref="L60:M60"/>
    <mergeCell ref="AG31:AI31"/>
    <mergeCell ref="M21:N21"/>
    <mergeCell ref="L19:M19"/>
    <mergeCell ref="B2:F5"/>
    <mergeCell ref="G2:H2"/>
    <mergeCell ref="L2:M2"/>
    <mergeCell ref="G3:I3"/>
    <mergeCell ref="G4:I4"/>
    <mergeCell ref="G5:H5"/>
    <mergeCell ref="AB40:AC40"/>
    <mergeCell ref="AB38:AT39"/>
    <mergeCell ref="AL40:AM40"/>
    <mergeCell ref="B12:D12"/>
    <mergeCell ref="G12:I12"/>
    <mergeCell ref="L12:P12"/>
    <mergeCell ref="B13:D13"/>
    <mergeCell ref="G13:J16"/>
    <mergeCell ref="L13:N13"/>
    <mergeCell ref="B6:F6"/>
    <mergeCell ref="G6:H6"/>
    <mergeCell ref="L7:M7"/>
    <mergeCell ref="B8:D9"/>
    <mergeCell ref="AB21:AC21"/>
    <mergeCell ref="W21:X21"/>
    <mergeCell ref="AQ21:AR21"/>
    <mergeCell ref="B19:D19"/>
    <mergeCell ref="G19:I19"/>
    <mergeCell ref="G26:I26"/>
    <mergeCell ref="B23:D23"/>
    <mergeCell ref="G23:I23"/>
    <mergeCell ref="B24:D24"/>
    <mergeCell ref="G24:I24"/>
    <mergeCell ref="B25:D25"/>
    <mergeCell ref="G25:I25"/>
    <mergeCell ref="B26:D26"/>
    <mergeCell ref="B11:D11"/>
    <mergeCell ref="G11:I11"/>
    <mergeCell ref="B21:D21"/>
    <mergeCell ref="G21:I21"/>
    <mergeCell ref="L11:P11"/>
    <mergeCell ref="G18:J18"/>
    <mergeCell ref="W36:Y36"/>
    <mergeCell ref="G40:I40"/>
    <mergeCell ref="R39:T39"/>
    <mergeCell ref="AQ32:AS32"/>
    <mergeCell ref="B27:D27"/>
    <mergeCell ref="G27:I27"/>
    <mergeCell ref="B29:D29"/>
    <mergeCell ref="G29:I29"/>
    <mergeCell ref="B33:D33"/>
    <mergeCell ref="G33:I33"/>
    <mergeCell ref="M33:O33"/>
    <mergeCell ref="R33:T33"/>
    <mergeCell ref="W33:Y33"/>
    <mergeCell ref="B30:D30"/>
    <mergeCell ref="G30:I30"/>
    <mergeCell ref="AB33:AD33"/>
    <mergeCell ref="AG33:AI33"/>
    <mergeCell ref="AL33:AN33"/>
    <mergeCell ref="AQ33:AS33"/>
    <mergeCell ref="B32:D32"/>
    <mergeCell ref="G32:I32"/>
    <mergeCell ref="M32:O32"/>
    <mergeCell ref="W39:Y39"/>
    <mergeCell ref="B41:D41"/>
    <mergeCell ref="G41:I41"/>
    <mergeCell ref="G38:I38"/>
    <mergeCell ref="B39:D39"/>
    <mergeCell ref="G39:I39"/>
    <mergeCell ref="L38:P38"/>
    <mergeCell ref="R38:T38"/>
    <mergeCell ref="W38:Y38"/>
    <mergeCell ref="B38:D38"/>
    <mergeCell ref="R40:T40"/>
    <mergeCell ref="W40:Y40"/>
    <mergeCell ref="B40:D40"/>
    <mergeCell ref="B56:D56"/>
    <mergeCell ref="G56:I56"/>
    <mergeCell ref="R42:T42"/>
    <mergeCell ref="W42:Y42"/>
    <mergeCell ref="B42:D42"/>
    <mergeCell ref="G42:I42"/>
    <mergeCell ref="B48:D48"/>
    <mergeCell ref="G48:I48"/>
    <mergeCell ref="R43:T43"/>
    <mergeCell ref="W43:Y43"/>
    <mergeCell ref="B45:D45"/>
    <mergeCell ref="G45:I45"/>
    <mergeCell ref="L47:AT48"/>
    <mergeCell ref="B52:D52"/>
    <mergeCell ref="G52:I52"/>
    <mergeCell ref="B54:D54"/>
    <mergeCell ref="G54:I54"/>
    <mergeCell ref="M54:O54"/>
    <mergeCell ref="R50:T50"/>
    <mergeCell ref="B47:D47"/>
    <mergeCell ref="G47:I47"/>
    <mergeCell ref="L56:Q57"/>
    <mergeCell ref="R49:T49"/>
    <mergeCell ref="W56:AE56"/>
    <mergeCell ref="B35:D35"/>
    <mergeCell ref="G35:I35"/>
    <mergeCell ref="M35:O35"/>
    <mergeCell ref="R35:T35"/>
    <mergeCell ref="W35:Y35"/>
    <mergeCell ref="B44:D44"/>
    <mergeCell ref="G44:I44"/>
    <mergeCell ref="AB49:AD49"/>
    <mergeCell ref="B53:D53"/>
    <mergeCell ref="G53:I53"/>
    <mergeCell ref="L52:L53"/>
    <mergeCell ref="B50:D50"/>
    <mergeCell ref="G50:I50"/>
    <mergeCell ref="B51:D51"/>
    <mergeCell ref="G51:I51"/>
    <mergeCell ref="B49:D49"/>
    <mergeCell ref="G49:I49"/>
    <mergeCell ref="L49:L50"/>
    <mergeCell ref="M49:O49"/>
    <mergeCell ref="B36:D36"/>
    <mergeCell ref="B43:D43"/>
    <mergeCell ref="G43:I43"/>
    <mergeCell ref="R45:T45"/>
    <mergeCell ref="W45:Y45"/>
    <mergeCell ref="B63:D63"/>
    <mergeCell ref="G63:I63"/>
    <mergeCell ref="B60:D60"/>
    <mergeCell ref="G60:I60"/>
    <mergeCell ref="B61:D61"/>
    <mergeCell ref="G61:I61"/>
    <mergeCell ref="B62:D62"/>
    <mergeCell ref="G62:I62"/>
    <mergeCell ref="B57:D57"/>
    <mergeCell ref="G57:I57"/>
    <mergeCell ref="B58:D58"/>
    <mergeCell ref="G58:I58"/>
    <mergeCell ref="B59:D59"/>
    <mergeCell ref="G59:I59"/>
    <mergeCell ref="B34:D34"/>
    <mergeCell ref="G34:I34"/>
    <mergeCell ref="M34:O34"/>
    <mergeCell ref="R34:T34"/>
    <mergeCell ref="W34:Y34"/>
    <mergeCell ref="L62:M62"/>
    <mergeCell ref="L59:M59"/>
    <mergeCell ref="L61:M61"/>
    <mergeCell ref="AQ50:AS50"/>
    <mergeCell ref="AQ54:AS54"/>
    <mergeCell ref="AG50:AI50"/>
    <mergeCell ref="AG54:AI54"/>
    <mergeCell ref="AL50:AN50"/>
    <mergeCell ref="AL54:AN54"/>
    <mergeCell ref="R54:T54"/>
    <mergeCell ref="W50:Y50"/>
    <mergeCell ref="W54:Y54"/>
    <mergeCell ref="AB50:AD50"/>
    <mergeCell ref="AB54:AD54"/>
    <mergeCell ref="AB61:AD61"/>
    <mergeCell ref="AB62:AD62"/>
    <mergeCell ref="G36:I36"/>
    <mergeCell ref="M36:O36"/>
    <mergeCell ref="R36:T36"/>
    <mergeCell ref="W67:Z67"/>
    <mergeCell ref="AB67:AE67"/>
    <mergeCell ref="AG67:AJ67"/>
    <mergeCell ref="AL67:AO67"/>
    <mergeCell ref="AQ67:AT67"/>
    <mergeCell ref="M68:M69"/>
    <mergeCell ref="L63:M63"/>
    <mergeCell ref="AB63:AD63"/>
    <mergeCell ref="AQ81:AS81"/>
    <mergeCell ref="M73:M74"/>
    <mergeCell ref="M81:O81"/>
    <mergeCell ref="L68:L80"/>
    <mergeCell ref="L81:L83"/>
    <mergeCell ref="AG68:AG69"/>
    <mergeCell ref="AG73:AG74"/>
    <mergeCell ref="AG81:AI81"/>
    <mergeCell ref="AL68:AL69"/>
    <mergeCell ref="AL73:AL74"/>
    <mergeCell ref="AL81:AN81"/>
    <mergeCell ref="AQ68:AQ69"/>
    <mergeCell ref="AQ73:AQ74"/>
    <mergeCell ref="L84:L85"/>
    <mergeCell ref="R68:R69"/>
    <mergeCell ref="R73:R74"/>
    <mergeCell ref="R81:T81"/>
    <mergeCell ref="W68:W69"/>
    <mergeCell ref="W73:W74"/>
    <mergeCell ref="W81:Y81"/>
    <mergeCell ref="AB68:AB69"/>
    <mergeCell ref="AB73:AB74"/>
    <mergeCell ref="AB81:AD8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17EE6-941D-43BF-B05B-686B8595307A}">
  <sheetPr codeName="工作表2">
    <tabColor theme="8" tint="-0.249977111117893"/>
  </sheetPr>
  <dimension ref="B2:U63"/>
  <sheetViews>
    <sheetView workbookViewId="0">
      <selection activeCell="B2" sqref="B2:I7"/>
    </sheetView>
  </sheetViews>
  <sheetFormatPr defaultRowHeight="16.5"/>
  <cols>
    <col min="1" max="1" width="3.375" customWidth="1"/>
    <col min="10" max="10" width="3.375" customWidth="1"/>
    <col min="13" max="13" width="3.375" customWidth="1"/>
    <col min="22" max="22" width="3.375" customWidth="1"/>
  </cols>
  <sheetData>
    <row r="2" spans="2:21">
      <c r="B2" s="163" t="s">
        <v>0</v>
      </c>
      <c r="C2" s="164"/>
      <c r="D2" s="164"/>
      <c r="E2" s="164"/>
      <c r="F2" s="164"/>
      <c r="G2" s="164"/>
      <c r="H2" s="164"/>
      <c r="I2" s="164"/>
    </row>
    <row r="3" spans="2:21">
      <c r="B3" s="164"/>
      <c r="C3" s="164"/>
      <c r="D3" s="164"/>
      <c r="E3" s="164"/>
      <c r="F3" s="164"/>
      <c r="G3" s="164"/>
      <c r="H3" s="164"/>
      <c r="I3" s="164"/>
    </row>
    <row r="4" spans="2:21">
      <c r="B4" s="164"/>
      <c r="C4" s="164"/>
      <c r="D4" s="164"/>
      <c r="E4" s="164"/>
      <c r="F4" s="164"/>
      <c r="G4" s="164"/>
      <c r="H4" s="164"/>
      <c r="I4" s="164"/>
    </row>
    <row r="5" spans="2:21">
      <c r="B5" s="164"/>
      <c r="C5" s="164"/>
      <c r="D5" s="164"/>
      <c r="E5" s="164"/>
      <c r="F5" s="164"/>
      <c r="G5" s="164"/>
      <c r="H5" s="164"/>
      <c r="I5" s="164"/>
      <c r="L5" s="4">
        <f>IF(L6/10&gt;=B32,B32-0.1,IF(L6/10&lt;=B10,B10+0.1,L6/10))</f>
        <v>7.7</v>
      </c>
      <c r="M5" s="2"/>
      <c r="N5" s="7"/>
      <c r="O5" s="7">
        <v>2300</v>
      </c>
      <c r="P5" s="7">
        <v>2857</v>
      </c>
      <c r="Q5" s="7">
        <v>4000</v>
      </c>
      <c r="R5" s="7">
        <v>4100</v>
      </c>
      <c r="S5" s="7">
        <v>6000</v>
      </c>
      <c r="T5" s="7">
        <v>6500</v>
      </c>
      <c r="U5" s="7">
        <v>7500</v>
      </c>
    </row>
    <row r="6" spans="2:21">
      <c r="B6" s="164"/>
      <c r="C6" s="164"/>
      <c r="D6" s="164"/>
      <c r="E6" s="164"/>
      <c r="F6" s="164"/>
      <c r="G6" s="164"/>
      <c r="H6" s="164"/>
      <c r="I6" s="164"/>
      <c r="K6" s="165" t="s">
        <v>1</v>
      </c>
      <c r="L6" s="166">
        <v>77</v>
      </c>
      <c r="M6" s="2"/>
      <c r="N6" s="7" t="s">
        <v>2</v>
      </c>
      <c r="O6" s="8">
        <f>C60+((C61-C60)*($L$5-$B$60)/($B$61-$B$60))</f>
        <v>0</v>
      </c>
      <c r="P6" s="8">
        <f t="shared" ref="P6:U6" si="0">D60+((D61-D60)*($L$5-$B$60)/($B$61-$B$60))</f>
        <v>0</v>
      </c>
      <c r="Q6" s="8">
        <f t="shared" si="0"/>
        <v>0</v>
      </c>
      <c r="R6" s="8">
        <f t="shared" si="0"/>
        <v>0</v>
      </c>
      <c r="S6" s="8">
        <f t="shared" si="0"/>
        <v>0</v>
      </c>
      <c r="T6" s="8">
        <f t="shared" si="0"/>
        <v>0</v>
      </c>
      <c r="U6" s="8">
        <f t="shared" si="0"/>
        <v>0</v>
      </c>
    </row>
    <row r="7" spans="2:21">
      <c r="B7" s="164"/>
      <c r="C7" s="164"/>
      <c r="D7" s="164"/>
      <c r="E7" s="164"/>
      <c r="F7" s="164"/>
      <c r="G7" s="164"/>
      <c r="H7" s="164"/>
      <c r="I7" s="164"/>
      <c r="K7" s="97"/>
      <c r="L7" s="97"/>
      <c r="M7" s="2"/>
      <c r="N7" s="7" t="s">
        <v>3</v>
      </c>
      <c r="O7" s="8">
        <f>C62+((C63-C62)*($L$5-$B$62)/($B$63-$B$62))</f>
        <v>0</v>
      </c>
      <c r="P7" s="8">
        <f t="shared" ref="P7:U7" si="1">D62+((D63-D62)*($L$5-$B$62)/($B$63-$B$62))</f>
        <v>0</v>
      </c>
      <c r="Q7" s="8">
        <f t="shared" si="1"/>
        <v>0</v>
      </c>
      <c r="R7" s="8">
        <f t="shared" si="1"/>
        <v>0</v>
      </c>
      <c r="S7" s="8">
        <f t="shared" si="1"/>
        <v>0</v>
      </c>
      <c r="T7" s="8">
        <f t="shared" si="1"/>
        <v>0</v>
      </c>
      <c r="U7" s="8">
        <f t="shared" si="1"/>
        <v>0</v>
      </c>
    </row>
    <row r="8" spans="2:21" ht="16.5" customHeight="1">
      <c r="B8" s="5"/>
      <c r="C8" s="5"/>
      <c r="D8" s="5"/>
      <c r="E8" s="5"/>
      <c r="F8" s="5"/>
      <c r="G8" s="5"/>
      <c r="H8" s="5"/>
      <c r="I8" s="5"/>
    </row>
    <row r="9" spans="2:21" ht="16.5" customHeight="1">
      <c r="B9" s="6" t="s">
        <v>3</v>
      </c>
      <c r="C9" s="2">
        <v>2300</v>
      </c>
      <c r="D9" s="2">
        <v>2857</v>
      </c>
      <c r="E9" s="2">
        <v>4000</v>
      </c>
      <c r="F9" s="2">
        <v>4100</v>
      </c>
      <c r="G9" s="2">
        <v>6000</v>
      </c>
      <c r="H9" s="2">
        <v>6500</v>
      </c>
      <c r="I9" s="2">
        <v>7500</v>
      </c>
    </row>
    <row r="10" spans="2:21">
      <c r="B10" s="2">
        <v>-4</v>
      </c>
      <c r="C10" s="2">
        <f>C35</f>
        <v>0</v>
      </c>
      <c r="D10" s="2">
        <f t="shared" ref="D10:I10" si="2">D35</f>
        <v>0</v>
      </c>
      <c r="E10" s="2">
        <f t="shared" si="2"/>
        <v>0</v>
      </c>
      <c r="F10" s="2">
        <f t="shared" si="2"/>
        <v>0</v>
      </c>
      <c r="G10" s="2">
        <f t="shared" si="2"/>
        <v>0</v>
      </c>
      <c r="H10" s="2">
        <f t="shared" si="2"/>
        <v>0</v>
      </c>
      <c r="I10" s="2">
        <f t="shared" si="2"/>
        <v>0</v>
      </c>
    </row>
    <row r="11" spans="2:21">
      <c r="B11" s="2">
        <v>-3</v>
      </c>
      <c r="C11" s="2">
        <f t="shared" ref="C11:I11" si="3">C36</f>
        <v>0</v>
      </c>
      <c r="D11" s="2">
        <f t="shared" si="3"/>
        <v>0</v>
      </c>
      <c r="E11" s="2">
        <f t="shared" si="3"/>
        <v>0</v>
      </c>
      <c r="F11" s="2">
        <f t="shared" si="3"/>
        <v>0</v>
      </c>
      <c r="G11" s="2">
        <f t="shared" si="3"/>
        <v>0</v>
      </c>
      <c r="H11" s="2">
        <f t="shared" si="3"/>
        <v>0</v>
      </c>
      <c r="I11" s="2">
        <f t="shared" si="3"/>
        <v>0</v>
      </c>
    </row>
    <row r="12" spans="2:21">
      <c r="B12" s="2">
        <v>-2</v>
      </c>
      <c r="C12" s="2">
        <f t="shared" ref="C12:I12" si="4">C37</f>
        <v>0</v>
      </c>
      <c r="D12" s="2">
        <f t="shared" si="4"/>
        <v>0</v>
      </c>
      <c r="E12" s="2">
        <f t="shared" si="4"/>
        <v>0</v>
      </c>
      <c r="F12" s="2">
        <f t="shared" si="4"/>
        <v>0</v>
      </c>
      <c r="G12" s="2">
        <f t="shared" si="4"/>
        <v>0</v>
      </c>
      <c r="H12" s="2">
        <f t="shared" si="4"/>
        <v>0</v>
      </c>
      <c r="I12" s="2">
        <f t="shared" si="4"/>
        <v>0</v>
      </c>
    </row>
    <row r="13" spans="2:21">
      <c r="B13" s="2">
        <v>-1</v>
      </c>
      <c r="C13" s="2">
        <f t="shared" ref="C13:I13" si="5">C38</f>
        <v>0</v>
      </c>
      <c r="D13" s="2">
        <f t="shared" si="5"/>
        <v>0</v>
      </c>
      <c r="E13" s="2">
        <f t="shared" si="5"/>
        <v>0</v>
      </c>
      <c r="F13" s="2">
        <f t="shared" si="5"/>
        <v>0</v>
      </c>
      <c r="G13" s="2">
        <f t="shared" si="5"/>
        <v>0</v>
      </c>
      <c r="H13" s="2">
        <f t="shared" si="5"/>
        <v>0</v>
      </c>
      <c r="I13" s="2">
        <f t="shared" si="5"/>
        <v>0</v>
      </c>
    </row>
    <row r="14" spans="2:21">
      <c r="B14" s="2">
        <v>0</v>
      </c>
      <c r="C14" s="2">
        <f t="shared" ref="C14:I14" si="6">C39</f>
        <v>0</v>
      </c>
      <c r="D14" s="2">
        <f t="shared" si="6"/>
        <v>0</v>
      </c>
      <c r="E14" s="2">
        <f t="shared" si="6"/>
        <v>0</v>
      </c>
      <c r="F14" s="2">
        <f t="shared" si="6"/>
        <v>0</v>
      </c>
      <c r="G14" s="2">
        <f t="shared" si="6"/>
        <v>0</v>
      </c>
      <c r="H14" s="2">
        <f t="shared" si="6"/>
        <v>0</v>
      </c>
      <c r="I14" s="2">
        <f t="shared" si="6"/>
        <v>0</v>
      </c>
    </row>
    <row r="15" spans="2:21">
      <c r="B15" s="2">
        <v>1</v>
      </c>
      <c r="C15" s="2">
        <f t="shared" ref="C15:I15" si="7">C40</f>
        <v>0</v>
      </c>
      <c r="D15" s="2">
        <f t="shared" si="7"/>
        <v>0</v>
      </c>
      <c r="E15" s="2">
        <f t="shared" si="7"/>
        <v>0</v>
      </c>
      <c r="F15" s="2">
        <f t="shared" si="7"/>
        <v>0</v>
      </c>
      <c r="G15" s="2">
        <f t="shared" si="7"/>
        <v>0</v>
      </c>
      <c r="H15" s="2">
        <f t="shared" si="7"/>
        <v>0</v>
      </c>
      <c r="I15" s="2">
        <f t="shared" si="7"/>
        <v>0</v>
      </c>
    </row>
    <row r="16" spans="2:21">
      <c r="B16" s="2">
        <v>2</v>
      </c>
      <c r="C16" s="2">
        <f t="shared" ref="C16:I16" si="8">C41</f>
        <v>0</v>
      </c>
      <c r="D16" s="2">
        <f t="shared" si="8"/>
        <v>0</v>
      </c>
      <c r="E16" s="2">
        <f t="shared" si="8"/>
        <v>0</v>
      </c>
      <c r="F16" s="2">
        <f t="shared" si="8"/>
        <v>0</v>
      </c>
      <c r="G16" s="2">
        <f t="shared" si="8"/>
        <v>0</v>
      </c>
      <c r="H16" s="2">
        <f t="shared" si="8"/>
        <v>0</v>
      </c>
      <c r="I16" s="2">
        <f t="shared" si="8"/>
        <v>0</v>
      </c>
    </row>
    <row r="17" spans="2:9">
      <c r="B17" s="2">
        <v>3</v>
      </c>
      <c r="C17" s="2">
        <f t="shared" ref="C17:I17" si="9">C42</f>
        <v>0</v>
      </c>
      <c r="D17" s="2">
        <f t="shared" si="9"/>
        <v>0</v>
      </c>
      <c r="E17" s="2">
        <f t="shared" si="9"/>
        <v>0</v>
      </c>
      <c r="F17" s="2">
        <f t="shared" si="9"/>
        <v>0</v>
      </c>
      <c r="G17" s="2">
        <f t="shared" si="9"/>
        <v>0</v>
      </c>
      <c r="H17" s="2">
        <f t="shared" si="9"/>
        <v>0</v>
      </c>
      <c r="I17" s="2">
        <f t="shared" si="9"/>
        <v>0</v>
      </c>
    </row>
    <row r="18" spans="2:9">
      <c r="B18" s="2">
        <v>4</v>
      </c>
      <c r="C18" s="2">
        <f t="shared" ref="C18:I18" si="10">C43</f>
        <v>0</v>
      </c>
      <c r="D18" s="2">
        <f t="shared" si="10"/>
        <v>0</v>
      </c>
      <c r="E18" s="2">
        <f t="shared" si="10"/>
        <v>0</v>
      </c>
      <c r="F18" s="2">
        <f t="shared" si="10"/>
        <v>0</v>
      </c>
      <c r="G18" s="2">
        <f t="shared" si="10"/>
        <v>0</v>
      </c>
      <c r="H18" s="2">
        <f t="shared" si="10"/>
        <v>0</v>
      </c>
      <c r="I18" s="2">
        <f t="shared" si="10"/>
        <v>0</v>
      </c>
    </row>
    <row r="19" spans="2:9">
      <c r="B19" s="2">
        <v>5</v>
      </c>
      <c r="C19" s="2">
        <f t="shared" ref="C19:I19" si="11">C44</f>
        <v>0</v>
      </c>
      <c r="D19" s="2">
        <f t="shared" si="11"/>
        <v>0</v>
      </c>
      <c r="E19" s="2">
        <f t="shared" si="11"/>
        <v>0</v>
      </c>
      <c r="F19" s="2">
        <f t="shared" si="11"/>
        <v>0</v>
      </c>
      <c r="G19" s="2">
        <f t="shared" si="11"/>
        <v>0</v>
      </c>
      <c r="H19" s="2">
        <f t="shared" si="11"/>
        <v>0</v>
      </c>
      <c r="I19" s="2">
        <f t="shared" si="11"/>
        <v>0</v>
      </c>
    </row>
    <row r="20" spans="2:9">
      <c r="B20" s="2">
        <v>6</v>
      </c>
      <c r="C20" s="2">
        <f t="shared" ref="C20:I20" si="12">C45</f>
        <v>0</v>
      </c>
      <c r="D20" s="2">
        <f t="shared" si="12"/>
        <v>0</v>
      </c>
      <c r="E20" s="2">
        <f t="shared" si="12"/>
        <v>0</v>
      </c>
      <c r="F20" s="2">
        <f t="shared" si="12"/>
        <v>0</v>
      </c>
      <c r="G20" s="2">
        <f t="shared" si="12"/>
        <v>0</v>
      </c>
      <c r="H20" s="2">
        <f t="shared" si="12"/>
        <v>0</v>
      </c>
      <c r="I20" s="2">
        <f t="shared" si="12"/>
        <v>0</v>
      </c>
    </row>
    <row r="21" spans="2:9">
      <c r="B21" s="2">
        <v>7</v>
      </c>
      <c r="C21" s="2">
        <f t="shared" ref="C21:I21" si="13">C46</f>
        <v>0</v>
      </c>
      <c r="D21" s="2">
        <f t="shared" si="13"/>
        <v>0</v>
      </c>
      <c r="E21" s="2">
        <f t="shared" si="13"/>
        <v>0</v>
      </c>
      <c r="F21" s="2">
        <f t="shared" si="13"/>
        <v>0</v>
      </c>
      <c r="G21" s="2">
        <f t="shared" si="13"/>
        <v>0</v>
      </c>
      <c r="H21" s="2">
        <f t="shared" si="13"/>
        <v>0</v>
      </c>
      <c r="I21" s="2">
        <f t="shared" si="13"/>
        <v>0</v>
      </c>
    </row>
    <row r="22" spans="2:9">
      <c r="B22" s="2">
        <v>8</v>
      </c>
      <c r="C22" s="2">
        <f t="shared" ref="C22:I22" si="14">C47</f>
        <v>0</v>
      </c>
      <c r="D22" s="2">
        <f t="shared" si="14"/>
        <v>0</v>
      </c>
      <c r="E22" s="2">
        <f t="shared" si="14"/>
        <v>0</v>
      </c>
      <c r="F22" s="2">
        <f t="shared" si="14"/>
        <v>0</v>
      </c>
      <c r="G22" s="2">
        <f t="shared" si="14"/>
        <v>0</v>
      </c>
      <c r="H22" s="2">
        <f t="shared" si="14"/>
        <v>0</v>
      </c>
      <c r="I22" s="2">
        <f t="shared" si="14"/>
        <v>0</v>
      </c>
    </row>
    <row r="23" spans="2:9">
      <c r="B23" s="2">
        <v>9</v>
      </c>
      <c r="C23" s="2">
        <f t="shared" ref="C23:I23" si="15">C48</f>
        <v>0</v>
      </c>
      <c r="D23" s="2">
        <f t="shared" si="15"/>
        <v>0</v>
      </c>
      <c r="E23" s="2">
        <f t="shared" si="15"/>
        <v>0</v>
      </c>
      <c r="F23" s="2">
        <f t="shared" si="15"/>
        <v>0</v>
      </c>
      <c r="G23" s="2">
        <f t="shared" si="15"/>
        <v>0</v>
      </c>
      <c r="H23" s="2">
        <f t="shared" si="15"/>
        <v>0</v>
      </c>
      <c r="I23" s="2">
        <f t="shared" si="15"/>
        <v>0</v>
      </c>
    </row>
    <row r="24" spans="2:9">
      <c r="B24" s="2">
        <v>10</v>
      </c>
      <c r="C24" s="2">
        <f t="shared" ref="C24:I24" si="16">C49</f>
        <v>0</v>
      </c>
      <c r="D24" s="2">
        <f t="shared" si="16"/>
        <v>0</v>
      </c>
      <c r="E24" s="2">
        <f t="shared" si="16"/>
        <v>0</v>
      </c>
      <c r="F24" s="2">
        <f t="shared" si="16"/>
        <v>0</v>
      </c>
      <c r="G24" s="2">
        <f t="shared" si="16"/>
        <v>0</v>
      </c>
      <c r="H24" s="2">
        <f t="shared" si="16"/>
        <v>0</v>
      </c>
      <c r="I24" s="2">
        <f t="shared" si="16"/>
        <v>0</v>
      </c>
    </row>
    <row r="25" spans="2:9">
      <c r="B25" s="2">
        <v>11</v>
      </c>
      <c r="C25" s="2">
        <f t="shared" ref="C25:I25" si="17">C50</f>
        <v>0</v>
      </c>
      <c r="D25" s="2">
        <f t="shared" si="17"/>
        <v>0</v>
      </c>
      <c r="E25" s="2">
        <f t="shared" si="17"/>
        <v>0</v>
      </c>
      <c r="F25" s="2">
        <f t="shared" si="17"/>
        <v>0</v>
      </c>
      <c r="G25" s="2">
        <f t="shared" si="17"/>
        <v>0</v>
      </c>
      <c r="H25" s="2">
        <f t="shared" si="17"/>
        <v>0</v>
      </c>
      <c r="I25" s="2">
        <f t="shared" si="17"/>
        <v>0</v>
      </c>
    </row>
    <row r="26" spans="2:9">
      <c r="B26" s="2">
        <v>12</v>
      </c>
      <c r="C26" s="2">
        <f t="shared" ref="C26:I26" si="18">C51</f>
        <v>0</v>
      </c>
      <c r="D26" s="2">
        <f t="shared" si="18"/>
        <v>0</v>
      </c>
      <c r="E26" s="2">
        <f t="shared" si="18"/>
        <v>0</v>
      </c>
      <c r="F26" s="2">
        <f t="shared" si="18"/>
        <v>0</v>
      </c>
      <c r="G26" s="2">
        <f t="shared" si="18"/>
        <v>0</v>
      </c>
      <c r="H26" s="2">
        <f t="shared" si="18"/>
        <v>0</v>
      </c>
      <c r="I26" s="2">
        <f t="shared" si="18"/>
        <v>0</v>
      </c>
    </row>
    <row r="27" spans="2:9">
      <c r="B27" s="2">
        <v>13</v>
      </c>
      <c r="C27" s="2">
        <f t="shared" ref="C27:I27" si="19">C52</f>
        <v>0</v>
      </c>
      <c r="D27" s="2">
        <f t="shared" si="19"/>
        <v>0</v>
      </c>
      <c r="E27" s="2">
        <f t="shared" si="19"/>
        <v>0</v>
      </c>
      <c r="F27" s="2">
        <f t="shared" si="19"/>
        <v>0</v>
      </c>
      <c r="G27" s="2">
        <f t="shared" si="19"/>
        <v>0</v>
      </c>
      <c r="H27" s="2">
        <f t="shared" si="19"/>
        <v>0</v>
      </c>
      <c r="I27" s="2">
        <f t="shared" si="19"/>
        <v>0</v>
      </c>
    </row>
    <row r="28" spans="2:9">
      <c r="B28" s="2">
        <v>14</v>
      </c>
      <c r="C28" s="2">
        <f t="shared" ref="C28:I28" si="20">C53</f>
        <v>0</v>
      </c>
      <c r="D28" s="2">
        <f t="shared" si="20"/>
        <v>0</v>
      </c>
      <c r="E28" s="2">
        <f t="shared" si="20"/>
        <v>0</v>
      </c>
      <c r="F28" s="2">
        <f t="shared" si="20"/>
        <v>0</v>
      </c>
      <c r="G28" s="2">
        <f t="shared" si="20"/>
        <v>0</v>
      </c>
      <c r="H28" s="2">
        <f t="shared" si="20"/>
        <v>0</v>
      </c>
      <c r="I28" s="2">
        <f t="shared" si="20"/>
        <v>0</v>
      </c>
    </row>
    <row r="29" spans="2:9">
      <c r="B29" s="2">
        <v>15</v>
      </c>
      <c r="C29" s="2">
        <f t="shared" ref="C29:I29" si="21">C54</f>
        <v>0</v>
      </c>
      <c r="D29" s="2">
        <f t="shared" si="21"/>
        <v>0</v>
      </c>
      <c r="E29" s="2">
        <f t="shared" si="21"/>
        <v>0</v>
      </c>
      <c r="F29" s="2">
        <f t="shared" si="21"/>
        <v>0</v>
      </c>
      <c r="G29" s="2">
        <f t="shared" si="21"/>
        <v>0</v>
      </c>
      <c r="H29" s="2">
        <f t="shared" si="21"/>
        <v>0</v>
      </c>
      <c r="I29" s="2">
        <f t="shared" si="21"/>
        <v>0</v>
      </c>
    </row>
    <row r="30" spans="2:9">
      <c r="B30" s="2">
        <v>16</v>
      </c>
      <c r="C30" s="2">
        <f t="shared" ref="C30:I30" si="22">C55</f>
        <v>0</v>
      </c>
      <c r="D30" s="2">
        <f t="shared" si="22"/>
        <v>0</v>
      </c>
      <c r="E30" s="2">
        <f t="shared" si="22"/>
        <v>0</v>
      </c>
      <c r="F30" s="2">
        <f t="shared" si="22"/>
        <v>0</v>
      </c>
      <c r="G30" s="2">
        <f t="shared" si="22"/>
        <v>0</v>
      </c>
      <c r="H30" s="2">
        <f t="shared" si="22"/>
        <v>0</v>
      </c>
      <c r="I30" s="2">
        <f t="shared" si="22"/>
        <v>0</v>
      </c>
    </row>
    <row r="31" spans="2:9">
      <c r="B31" s="2">
        <v>17</v>
      </c>
      <c r="C31" s="2">
        <f t="shared" ref="C31:I31" si="23">C56</f>
        <v>0</v>
      </c>
      <c r="D31" s="2">
        <f t="shared" si="23"/>
        <v>0</v>
      </c>
      <c r="E31" s="2">
        <f t="shared" si="23"/>
        <v>0</v>
      </c>
      <c r="F31" s="2">
        <f t="shared" si="23"/>
        <v>0</v>
      </c>
      <c r="G31" s="2">
        <f t="shared" si="23"/>
        <v>0</v>
      </c>
      <c r="H31" s="2">
        <f t="shared" si="23"/>
        <v>0</v>
      </c>
      <c r="I31" s="2">
        <f t="shared" si="23"/>
        <v>0</v>
      </c>
    </row>
    <row r="32" spans="2:9">
      <c r="B32" s="2">
        <v>18</v>
      </c>
      <c r="C32" s="2">
        <f t="shared" ref="C32:I32" si="24">C57</f>
        <v>0</v>
      </c>
      <c r="D32" s="2">
        <f t="shared" si="24"/>
        <v>0</v>
      </c>
      <c r="E32" s="2">
        <f t="shared" si="24"/>
        <v>0</v>
      </c>
      <c r="F32" s="2">
        <f t="shared" si="24"/>
        <v>0</v>
      </c>
      <c r="G32" s="2">
        <f t="shared" si="24"/>
        <v>0</v>
      </c>
      <c r="H32" s="2">
        <f t="shared" si="24"/>
        <v>0</v>
      </c>
      <c r="I32" s="2">
        <f t="shared" si="24"/>
        <v>0</v>
      </c>
    </row>
    <row r="34" spans="2:11">
      <c r="B34" s="11" t="s">
        <v>2</v>
      </c>
      <c r="C34" s="10">
        <v>2300</v>
      </c>
      <c r="D34" s="10">
        <v>2857</v>
      </c>
      <c r="E34" s="10">
        <v>4000</v>
      </c>
      <c r="F34" s="10">
        <v>4100</v>
      </c>
      <c r="G34" s="10">
        <v>6000</v>
      </c>
      <c r="H34" s="10">
        <v>6500</v>
      </c>
      <c r="I34" s="10">
        <v>7500</v>
      </c>
    </row>
    <row r="35" spans="2:11">
      <c r="B35" s="10">
        <v>-4</v>
      </c>
      <c r="C35" s="10"/>
      <c r="D35" s="10"/>
      <c r="E35" s="10"/>
      <c r="F35" s="10"/>
      <c r="G35" s="10"/>
      <c r="H35" s="10"/>
      <c r="I35" s="10"/>
    </row>
    <row r="36" spans="2:11">
      <c r="B36" s="10">
        <v>-3</v>
      </c>
      <c r="C36" s="10"/>
      <c r="D36" s="10"/>
      <c r="E36" s="10"/>
      <c r="F36" s="10"/>
      <c r="G36" s="10"/>
      <c r="H36" s="10"/>
      <c r="I36" s="10"/>
      <c r="J36" s="1"/>
      <c r="K36" s="1"/>
    </row>
    <row r="37" spans="2:11">
      <c r="B37" s="10">
        <v>-2</v>
      </c>
      <c r="C37" s="10"/>
      <c r="D37" s="10"/>
      <c r="E37" s="10"/>
      <c r="F37" s="10"/>
      <c r="G37" s="10"/>
      <c r="H37" s="10"/>
      <c r="I37" s="10"/>
    </row>
    <row r="38" spans="2:11">
      <c r="B38" s="10">
        <v>-1</v>
      </c>
      <c r="C38" s="10"/>
      <c r="D38" s="10"/>
      <c r="E38" s="10"/>
      <c r="F38" s="10"/>
      <c r="G38" s="10"/>
      <c r="H38" s="10"/>
      <c r="I38" s="10"/>
    </row>
    <row r="39" spans="2:11">
      <c r="B39" s="10">
        <v>0</v>
      </c>
      <c r="C39" s="10"/>
      <c r="D39" s="10"/>
      <c r="E39" s="10"/>
      <c r="F39" s="10"/>
      <c r="G39" s="10"/>
      <c r="H39" s="10"/>
      <c r="I39" s="10"/>
    </row>
    <row r="40" spans="2:11">
      <c r="B40" s="10">
        <v>1</v>
      </c>
      <c r="C40" s="10"/>
      <c r="D40" s="10"/>
      <c r="E40" s="10"/>
      <c r="F40" s="10"/>
      <c r="G40" s="10"/>
      <c r="H40" s="10"/>
      <c r="I40" s="10"/>
    </row>
    <row r="41" spans="2:11">
      <c r="B41" s="10">
        <v>2</v>
      </c>
      <c r="C41" s="10"/>
      <c r="D41" s="10"/>
      <c r="E41" s="10"/>
      <c r="F41" s="10"/>
      <c r="G41" s="10"/>
      <c r="H41" s="10"/>
      <c r="I41" s="10"/>
    </row>
    <row r="42" spans="2:11">
      <c r="B42" s="10">
        <v>3</v>
      </c>
      <c r="C42" s="10"/>
      <c r="D42" s="10"/>
      <c r="E42" s="10"/>
      <c r="F42" s="10"/>
      <c r="G42" s="10"/>
      <c r="H42" s="10"/>
      <c r="I42" s="10"/>
    </row>
    <row r="43" spans="2:11">
      <c r="B43" s="10">
        <v>4</v>
      </c>
      <c r="C43" s="10"/>
      <c r="D43" s="10"/>
      <c r="E43" s="10"/>
      <c r="F43" s="10"/>
      <c r="G43" s="10"/>
      <c r="H43" s="10"/>
      <c r="I43" s="10"/>
    </row>
    <row r="44" spans="2:11">
      <c r="B44" s="10">
        <v>5</v>
      </c>
      <c r="C44" s="10"/>
      <c r="D44" s="10"/>
      <c r="E44" s="10"/>
      <c r="F44" s="10"/>
      <c r="G44" s="10"/>
      <c r="H44" s="10"/>
      <c r="I44" s="10"/>
    </row>
    <row r="45" spans="2:11">
      <c r="B45" s="10">
        <v>6</v>
      </c>
      <c r="C45" s="10"/>
      <c r="D45" s="10"/>
      <c r="E45" s="10"/>
      <c r="F45" s="10"/>
      <c r="G45" s="10"/>
      <c r="H45" s="10"/>
      <c r="I45" s="10"/>
    </row>
    <row r="46" spans="2:11">
      <c r="B46" s="10">
        <v>7</v>
      </c>
      <c r="C46" s="10"/>
      <c r="D46" s="10"/>
      <c r="E46" s="10"/>
      <c r="F46" s="10"/>
      <c r="G46" s="10"/>
      <c r="H46" s="10"/>
      <c r="I46" s="10"/>
    </row>
    <row r="47" spans="2:11">
      <c r="B47" s="10">
        <v>8</v>
      </c>
      <c r="C47" s="10"/>
      <c r="D47" s="10"/>
      <c r="E47" s="10"/>
      <c r="F47" s="10"/>
      <c r="G47" s="10"/>
      <c r="H47" s="10"/>
      <c r="I47" s="10"/>
    </row>
    <row r="48" spans="2:11">
      <c r="B48" s="10">
        <v>9</v>
      </c>
      <c r="C48" s="10"/>
      <c r="D48" s="10"/>
      <c r="E48" s="10"/>
      <c r="F48" s="10"/>
      <c r="G48" s="10"/>
      <c r="H48" s="10"/>
      <c r="I48" s="10"/>
    </row>
    <row r="49" spans="2:9">
      <c r="B49" s="10">
        <v>10</v>
      </c>
      <c r="C49" s="10"/>
      <c r="D49" s="10"/>
      <c r="E49" s="10"/>
      <c r="F49" s="10"/>
      <c r="G49" s="10"/>
      <c r="H49" s="10"/>
      <c r="I49" s="10"/>
    </row>
    <row r="50" spans="2:9">
      <c r="B50" s="10">
        <v>11</v>
      </c>
      <c r="C50" s="10"/>
      <c r="D50" s="10"/>
      <c r="E50" s="10"/>
      <c r="F50" s="10"/>
      <c r="G50" s="10"/>
      <c r="H50" s="10"/>
      <c r="I50" s="10"/>
    </row>
    <row r="51" spans="2:9">
      <c r="B51" s="10">
        <v>12</v>
      </c>
      <c r="C51" s="10"/>
      <c r="D51" s="10"/>
      <c r="E51" s="10"/>
      <c r="F51" s="10"/>
      <c r="G51" s="10"/>
      <c r="H51" s="10"/>
      <c r="I51" s="10"/>
    </row>
    <row r="52" spans="2:9">
      <c r="B52" s="10">
        <v>13</v>
      </c>
      <c r="C52" s="10"/>
      <c r="D52" s="10"/>
      <c r="E52" s="10"/>
      <c r="F52" s="10"/>
      <c r="G52" s="10"/>
      <c r="H52" s="10"/>
      <c r="I52" s="10"/>
    </row>
    <row r="53" spans="2:9">
      <c r="B53" s="10">
        <v>14</v>
      </c>
      <c r="C53" s="10"/>
      <c r="D53" s="10"/>
      <c r="E53" s="10"/>
      <c r="F53" s="10"/>
      <c r="G53" s="10"/>
      <c r="H53" s="10"/>
      <c r="I53" s="10"/>
    </row>
    <row r="54" spans="2:9">
      <c r="B54" s="10">
        <v>15</v>
      </c>
      <c r="C54" s="10"/>
      <c r="D54" s="10"/>
      <c r="E54" s="10"/>
      <c r="F54" s="10"/>
      <c r="G54" s="10"/>
      <c r="H54" s="10"/>
      <c r="I54" s="10"/>
    </row>
    <row r="55" spans="2:9">
      <c r="B55" s="10">
        <v>16</v>
      </c>
      <c r="C55" s="10"/>
      <c r="D55" s="10"/>
      <c r="E55" s="10"/>
      <c r="F55" s="10"/>
      <c r="G55" s="10"/>
      <c r="H55" s="10"/>
      <c r="I55" s="10"/>
    </row>
    <row r="56" spans="2:9">
      <c r="B56" s="10">
        <v>17</v>
      </c>
      <c r="C56" s="10"/>
      <c r="D56" s="10"/>
      <c r="E56" s="10"/>
      <c r="F56" s="10"/>
      <c r="G56" s="10"/>
      <c r="H56" s="10"/>
      <c r="I56" s="10"/>
    </row>
    <row r="57" spans="2:9">
      <c r="B57" s="10">
        <v>18</v>
      </c>
      <c r="C57" s="10"/>
      <c r="D57" s="10"/>
      <c r="E57" s="10"/>
      <c r="F57" s="10"/>
      <c r="G57" s="10"/>
      <c r="H57" s="10"/>
      <c r="I57" s="10"/>
    </row>
    <row r="58" spans="2:9">
      <c r="B58" s="9"/>
      <c r="C58" s="9"/>
      <c r="D58" s="9"/>
      <c r="E58" s="9"/>
      <c r="F58" s="9"/>
      <c r="G58" s="9"/>
      <c r="H58" s="9"/>
      <c r="I58" s="9"/>
    </row>
    <row r="59" spans="2:9">
      <c r="B59" s="3"/>
      <c r="C59" s="4">
        <v>2</v>
      </c>
      <c r="D59" s="4">
        <v>3</v>
      </c>
      <c r="E59" s="4">
        <v>4</v>
      </c>
      <c r="F59" s="4">
        <v>5</v>
      </c>
      <c r="G59" s="4">
        <v>6</v>
      </c>
      <c r="H59" s="4">
        <v>7</v>
      </c>
      <c r="I59" s="4">
        <v>8</v>
      </c>
    </row>
    <row r="60" spans="2:9">
      <c r="B60" s="4">
        <f>VLOOKUP(ROUNDUP(L5,1),B10:B32,1,TRUE)</f>
        <v>7</v>
      </c>
      <c r="C60" s="4">
        <f>VLOOKUP($B60,$B$35:$I$57,C$59)</f>
        <v>0</v>
      </c>
      <c r="D60" s="4">
        <f t="shared" ref="D60:I61" si="25">VLOOKUP($B60,$B$35:$I$57,D$59)</f>
        <v>0</v>
      </c>
      <c r="E60" s="4">
        <f t="shared" si="25"/>
        <v>0</v>
      </c>
      <c r="F60" s="4">
        <f t="shared" si="25"/>
        <v>0</v>
      </c>
      <c r="G60" s="4">
        <f t="shared" si="25"/>
        <v>0</v>
      </c>
      <c r="H60" s="4">
        <f t="shared" si="25"/>
        <v>0</v>
      </c>
      <c r="I60" s="4">
        <f t="shared" si="25"/>
        <v>0</v>
      </c>
    </row>
    <row r="61" spans="2:9">
      <c r="B61" s="4">
        <f>B60+1</f>
        <v>8</v>
      </c>
      <c r="C61" s="4">
        <f>VLOOKUP($B61,$B$35:$I$57,C$59)</f>
        <v>0</v>
      </c>
      <c r="D61" s="4">
        <f t="shared" si="25"/>
        <v>0</v>
      </c>
      <c r="E61" s="4">
        <f t="shared" si="25"/>
        <v>0</v>
      </c>
      <c r="F61" s="4">
        <f t="shared" si="25"/>
        <v>0</v>
      </c>
      <c r="G61" s="4">
        <f t="shared" si="25"/>
        <v>0</v>
      </c>
      <c r="H61" s="4">
        <f t="shared" si="25"/>
        <v>0</v>
      </c>
      <c r="I61" s="4">
        <f t="shared" si="25"/>
        <v>0</v>
      </c>
    </row>
    <row r="62" spans="2:9">
      <c r="B62" s="4">
        <f>VLOOKUP(ROUNDUP(L5,1),B35:B57,1,TRUE)</f>
        <v>7</v>
      </c>
      <c r="C62" s="4">
        <f t="shared" ref="C62:I63" si="26">VLOOKUP($B62,$B$10:$I$32,C$59)</f>
        <v>0</v>
      </c>
      <c r="D62" s="4">
        <f t="shared" si="26"/>
        <v>0</v>
      </c>
      <c r="E62" s="4">
        <f t="shared" si="26"/>
        <v>0</v>
      </c>
      <c r="F62" s="4">
        <f t="shared" si="26"/>
        <v>0</v>
      </c>
      <c r="G62" s="4">
        <f t="shared" si="26"/>
        <v>0</v>
      </c>
      <c r="H62" s="4">
        <f t="shared" si="26"/>
        <v>0</v>
      </c>
      <c r="I62" s="4">
        <f t="shared" si="26"/>
        <v>0</v>
      </c>
    </row>
    <row r="63" spans="2:9">
      <c r="B63" s="4">
        <f>B62+1</f>
        <v>8</v>
      </c>
      <c r="C63" s="4">
        <f t="shared" si="26"/>
        <v>0</v>
      </c>
      <c r="D63" s="4">
        <f t="shared" si="26"/>
        <v>0</v>
      </c>
      <c r="E63" s="4">
        <f t="shared" si="26"/>
        <v>0</v>
      </c>
      <c r="F63" s="4">
        <f t="shared" si="26"/>
        <v>0</v>
      </c>
      <c r="G63" s="4">
        <f t="shared" si="26"/>
        <v>0</v>
      </c>
      <c r="H63" s="4">
        <f t="shared" si="26"/>
        <v>0</v>
      </c>
      <c r="I63" s="4">
        <f t="shared" si="26"/>
        <v>0</v>
      </c>
    </row>
  </sheetData>
  <mergeCells count="3">
    <mergeCell ref="B2:I7"/>
    <mergeCell ref="K6:K7"/>
    <mergeCell ref="L6:L7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0.AWBanalysis</vt:lpstr>
      <vt:lpstr>P1curve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TrevorEChen(陳恩)</cp:lastModifiedBy>
  <dcterms:created xsi:type="dcterms:W3CDTF">2022-03-16T03:51:17Z</dcterms:created>
  <dcterms:modified xsi:type="dcterms:W3CDTF">2023-03-21T06:42:43Z</dcterms:modified>
</cp:coreProperties>
</file>