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D:\python\1.gammaSimulator\"/>
    </mc:Choice>
  </mc:AlternateContent>
  <xr:revisionPtr revIDLastSave="0" documentId="13_ncr:1_{63C18FCE-4E82-46BD-8967-DC3CF69542E7}" xr6:coauthVersionLast="47" xr6:coauthVersionMax="47" xr10:uidLastSave="{00000000-0000-0000-0000-000000000000}"/>
  <bookViews>
    <workbookView xWindow="28680" yWindow="-16545" windowWidth="18240" windowHeight="28440" xr2:uid="{645516CF-D5AD-498F-B5D1-7790C38D4318}"/>
  </bookViews>
  <sheets>
    <sheet name="0.AEpreCheck" sheetId="3" r:id="rId1"/>
    <sheet name="1.AEcheck" sheetId="15" r:id="rId2"/>
    <sheet name="2.gammaSimulator" sheetId="7" r:id="rId3"/>
    <sheet name="3.gammaCheck" sheetId="17" r:id="rId4"/>
  </sheets>
  <definedNames>
    <definedName name="solver_cvg" localSheetId="2" hidden="1">0.0001</definedName>
    <definedName name="solver_drv"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opt" localSheetId="2" hidden="1">'2.gammaSimulator'!$O$6</definedName>
    <definedName name="solver_pre" localSheetId="2" hidden="1">0.000001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5" i="7" l="1"/>
  <c r="B81" i="7"/>
  <c r="B77"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U265" i="7"/>
  <c r="U266" i="7"/>
  <c r="U267" i="7"/>
  <c r="U268" i="7"/>
  <c r="U269" i="7"/>
  <c r="U270" i="7"/>
  <c r="U271" i="7"/>
  <c r="U272" i="7"/>
  <c r="U273" i="7"/>
  <c r="U274" i="7"/>
  <c r="U275" i="7"/>
  <c r="U276" i="7"/>
  <c r="U277" i="7"/>
  <c r="U278" i="7"/>
  <c r="U279" i="7"/>
  <c r="U280" i="7"/>
  <c r="U281" i="7"/>
  <c r="U282" i="7"/>
  <c r="U283" i="7"/>
  <c r="U284" i="7"/>
  <c r="U285" i="7"/>
  <c r="U286" i="7"/>
  <c r="U287" i="7"/>
  <c r="U288" i="7"/>
  <c r="U289" i="7"/>
  <c r="U290" i="7"/>
  <c r="U291" i="7"/>
  <c r="U35" i="7"/>
  <c r="N291"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36" i="7"/>
  <c r="N35" i="7"/>
  <c r="AJ32" i="17"/>
  <c r="AI32" i="17"/>
  <c r="AH32" i="17"/>
  <c r="AG32" i="17"/>
  <c r="AF32" i="17"/>
  <c r="AE32" i="17"/>
  <c r="AD32" i="17"/>
  <c r="AC32" i="17"/>
  <c r="AB32" i="17"/>
  <c r="AA32" i="17"/>
  <c r="Z32" i="17"/>
  <c r="Y32" i="17"/>
  <c r="X32" i="17"/>
  <c r="W32" i="17"/>
  <c r="V32" i="17"/>
  <c r="K32" i="17"/>
  <c r="D12" i="15"/>
  <c r="AJ32" i="15"/>
  <c r="AI32" i="15"/>
  <c r="AH32" i="15"/>
  <c r="AG32" i="15"/>
  <c r="AF32" i="15"/>
  <c r="AE32" i="15"/>
  <c r="AD32" i="15"/>
  <c r="AC32" i="15"/>
  <c r="AB32" i="15"/>
  <c r="AA32" i="15"/>
  <c r="Z32" i="15"/>
  <c r="Y32" i="15"/>
  <c r="X32" i="15"/>
  <c r="W32" i="15"/>
  <c r="V32" i="15"/>
  <c r="AJ32" i="3"/>
  <c r="AI32" i="3"/>
  <c r="AH32" i="3"/>
  <c r="AG32" i="3"/>
  <c r="AF32" i="3"/>
  <c r="AE32" i="3"/>
  <c r="AD32" i="3"/>
  <c r="AC32" i="3"/>
  <c r="AB32" i="3"/>
  <c r="AA32" i="3"/>
  <c r="Z32" i="3"/>
  <c r="Y32" i="3"/>
  <c r="X32" i="3"/>
  <c r="W32" i="3"/>
  <c r="V32" i="3"/>
  <c r="R32" i="3"/>
  <c r="Q32" i="3"/>
  <c r="P32" i="3"/>
  <c r="O32" i="3"/>
  <c r="N32" i="3"/>
  <c r="M32" i="3"/>
  <c r="L32" i="3"/>
  <c r="K32" i="3"/>
  <c r="J32" i="3"/>
  <c r="I32" i="3"/>
  <c r="H32" i="3"/>
  <c r="G32" i="3"/>
  <c r="F32" i="3"/>
  <c r="E32" i="3"/>
  <c r="D32" i="3"/>
  <c r="H31" i="7"/>
  <c r="H13" i="7"/>
  <c r="H14" i="7"/>
  <c r="H15" i="7"/>
  <c r="H16" i="7"/>
  <c r="H17" i="7"/>
  <c r="H18" i="7"/>
  <c r="H19" i="7"/>
  <c r="H20" i="7"/>
  <c r="H21" i="7"/>
  <c r="H22" i="7"/>
  <c r="H23" i="7"/>
  <c r="H24" i="7"/>
  <c r="H25" i="7"/>
  <c r="H26" i="7"/>
  <c r="H27" i="7"/>
  <c r="H28" i="7"/>
  <c r="H29" i="7"/>
  <c r="H30" i="7"/>
  <c r="H12" i="7"/>
  <c r="D13" i="15"/>
  <c r="V6" i="15" s="1"/>
  <c r="E13" i="15"/>
  <c r="F13" i="15"/>
  <c r="G13" i="15"/>
  <c r="H13" i="15"/>
  <c r="Z6" i="15" s="1"/>
  <c r="I13" i="15"/>
  <c r="J13" i="15"/>
  <c r="K13" i="15"/>
  <c r="L13" i="15"/>
  <c r="AD6" i="15" s="1"/>
  <c r="M13" i="15"/>
  <c r="N13" i="15"/>
  <c r="O13" i="15"/>
  <c r="P13" i="15"/>
  <c r="AH6" i="15" s="1"/>
  <c r="Q13" i="15"/>
  <c r="R13" i="15"/>
  <c r="C13" i="7" s="1"/>
  <c r="D14" i="15"/>
  <c r="V7" i="15" s="1"/>
  <c r="E14" i="15"/>
  <c r="W7" i="15" s="1"/>
  <c r="F14" i="15"/>
  <c r="X7" i="15" s="1"/>
  <c r="G14" i="15"/>
  <c r="H14" i="15"/>
  <c r="I14" i="15"/>
  <c r="AA7" i="15" s="1"/>
  <c r="J14" i="15"/>
  <c r="K14" i="15"/>
  <c r="L14" i="15"/>
  <c r="AD7" i="15" s="1"/>
  <c r="M14" i="15"/>
  <c r="AE7" i="15" s="1"/>
  <c r="N14" i="15"/>
  <c r="O14" i="15"/>
  <c r="P14" i="15"/>
  <c r="Q14" i="15"/>
  <c r="AI7" i="15" s="1"/>
  <c r="R14" i="15"/>
  <c r="C14" i="7" s="1"/>
  <c r="D15" i="15"/>
  <c r="E15" i="15"/>
  <c r="W8" i="15" s="1"/>
  <c r="F15" i="15"/>
  <c r="X8" i="15" s="1"/>
  <c r="G15" i="15"/>
  <c r="Y8" i="15" s="1"/>
  <c r="H15" i="15"/>
  <c r="I15" i="15"/>
  <c r="J15" i="15"/>
  <c r="K15" i="15"/>
  <c r="L15" i="15"/>
  <c r="M15" i="15"/>
  <c r="AE8" i="15" s="1"/>
  <c r="N15" i="15"/>
  <c r="AF8" i="15" s="1"/>
  <c r="O15" i="15"/>
  <c r="P15" i="15"/>
  <c r="Q15" i="15"/>
  <c r="R15" i="15"/>
  <c r="C15" i="7" s="1"/>
  <c r="D16" i="15"/>
  <c r="E16" i="15"/>
  <c r="F16" i="15"/>
  <c r="G16" i="15"/>
  <c r="H16" i="15"/>
  <c r="I16" i="15"/>
  <c r="J16" i="15"/>
  <c r="K16" i="15"/>
  <c r="K40" i="15" s="1"/>
  <c r="L16" i="15"/>
  <c r="M16" i="15"/>
  <c r="N16" i="15"/>
  <c r="O16" i="15"/>
  <c r="P16" i="15"/>
  <c r="Q16" i="15"/>
  <c r="R16" i="15"/>
  <c r="C16" i="7" s="1"/>
  <c r="D17" i="15"/>
  <c r="D41" i="15" s="1"/>
  <c r="E17" i="15"/>
  <c r="F17" i="15"/>
  <c r="G17" i="15"/>
  <c r="H17" i="15"/>
  <c r="I17" i="15"/>
  <c r="J17" i="15"/>
  <c r="K17" i="15"/>
  <c r="L17" i="15"/>
  <c r="K41" i="15" s="1"/>
  <c r="M17" i="15"/>
  <c r="N17" i="15"/>
  <c r="O17" i="15"/>
  <c r="P17" i="15"/>
  <c r="Q17" i="15"/>
  <c r="R17" i="15"/>
  <c r="C17" i="7" s="1"/>
  <c r="D18" i="15"/>
  <c r="E18" i="15"/>
  <c r="D42" i="15" s="1"/>
  <c r="F18" i="15"/>
  <c r="G18" i="15"/>
  <c r="H18" i="15"/>
  <c r="I18" i="15"/>
  <c r="J18" i="15"/>
  <c r="K18" i="15"/>
  <c r="L18" i="15"/>
  <c r="M18" i="15"/>
  <c r="L42" i="15" s="1"/>
  <c r="N18" i="15"/>
  <c r="O18" i="15"/>
  <c r="P18" i="15"/>
  <c r="Q18" i="15"/>
  <c r="R18" i="15"/>
  <c r="C18" i="7" s="1"/>
  <c r="D19" i="15"/>
  <c r="E19" i="15"/>
  <c r="F19" i="15"/>
  <c r="F43" i="15" s="1"/>
  <c r="G19" i="15"/>
  <c r="H19" i="15"/>
  <c r="I19" i="15"/>
  <c r="J19" i="15"/>
  <c r="K19" i="15"/>
  <c r="L19" i="15"/>
  <c r="M19" i="15"/>
  <c r="N19" i="15"/>
  <c r="M43" i="15" s="1"/>
  <c r="O19" i="15"/>
  <c r="P19" i="15"/>
  <c r="Q19" i="15"/>
  <c r="R19" i="15"/>
  <c r="C19" i="7" s="1"/>
  <c r="D20" i="15"/>
  <c r="E20" i="15"/>
  <c r="F20" i="15"/>
  <c r="G20" i="15"/>
  <c r="F44" i="15" s="1"/>
  <c r="H20" i="15"/>
  <c r="I20" i="15"/>
  <c r="J20" i="15"/>
  <c r="K20" i="15"/>
  <c r="L20" i="15"/>
  <c r="M20" i="15"/>
  <c r="N20" i="15"/>
  <c r="O20" i="15"/>
  <c r="N44" i="15" s="1"/>
  <c r="P20" i="15"/>
  <c r="Q20" i="15"/>
  <c r="R20" i="15"/>
  <c r="C20" i="7" s="1"/>
  <c r="D21" i="15"/>
  <c r="E21" i="15"/>
  <c r="F21" i="15"/>
  <c r="G21" i="15"/>
  <c r="H21" i="15"/>
  <c r="G45" i="15" s="1"/>
  <c r="I21" i="15"/>
  <c r="J21" i="15"/>
  <c r="K21" i="15"/>
  <c r="L21" i="15"/>
  <c r="M21" i="15"/>
  <c r="N21" i="15"/>
  <c r="O21" i="15"/>
  <c r="P21" i="15"/>
  <c r="O45" i="15" s="1"/>
  <c r="Q21" i="15"/>
  <c r="R21" i="15"/>
  <c r="C21" i="7" s="1"/>
  <c r="D22" i="15"/>
  <c r="E22" i="15"/>
  <c r="F22" i="15"/>
  <c r="G22" i="15"/>
  <c r="H22" i="15"/>
  <c r="I22" i="15"/>
  <c r="I46" i="15" s="1"/>
  <c r="J22" i="15"/>
  <c r="K22" i="15"/>
  <c r="L22" i="15"/>
  <c r="M22" i="15"/>
  <c r="N22" i="15"/>
  <c r="O22" i="15"/>
  <c r="P22" i="15"/>
  <c r="Q22" i="15"/>
  <c r="Q46" i="15" s="1"/>
  <c r="R22" i="15"/>
  <c r="C22" i="7" s="1"/>
  <c r="D23" i="15"/>
  <c r="E23" i="15"/>
  <c r="F23" i="15"/>
  <c r="G23" i="15"/>
  <c r="H23" i="15"/>
  <c r="I23" i="15"/>
  <c r="J23" i="15"/>
  <c r="J47" i="15" s="1"/>
  <c r="K23" i="15"/>
  <c r="L23" i="15"/>
  <c r="M23" i="15"/>
  <c r="N23" i="15"/>
  <c r="O23" i="15"/>
  <c r="P23" i="15"/>
  <c r="Q23" i="15"/>
  <c r="R23" i="15"/>
  <c r="C23" i="7" s="1"/>
  <c r="D24" i="15"/>
  <c r="E24" i="15"/>
  <c r="F24" i="15"/>
  <c r="G24" i="15"/>
  <c r="H24" i="15"/>
  <c r="I24" i="15"/>
  <c r="J24" i="15"/>
  <c r="K24" i="15"/>
  <c r="K48" i="15" s="1"/>
  <c r="L24" i="15"/>
  <c r="M24" i="15"/>
  <c r="N24" i="15"/>
  <c r="O24" i="15"/>
  <c r="P24" i="15"/>
  <c r="Q24" i="15"/>
  <c r="R24" i="15"/>
  <c r="C24" i="7" s="1"/>
  <c r="D25" i="15"/>
  <c r="E25" i="15"/>
  <c r="F25" i="15"/>
  <c r="G25" i="15"/>
  <c r="H25" i="15"/>
  <c r="I25" i="15"/>
  <c r="J25" i="15"/>
  <c r="K25" i="15"/>
  <c r="L25" i="15"/>
  <c r="M25" i="15"/>
  <c r="N25" i="15"/>
  <c r="O25" i="15"/>
  <c r="P25" i="15"/>
  <c r="Q25" i="15"/>
  <c r="R25" i="15"/>
  <c r="C25" i="7" s="1"/>
  <c r="D26" i="15"/>
  <c r="E26" i="15"/>
  <c r="F26" i="15"/>
  <c r="G26" i="15"/>
  <c r="H26" i="15"/>
  <c r="I26" i="15"/>
  <c r="J26" i="15"/>
  <c r="K26" i="15"/>
  <c r="L26" i="15"/>
  <c r="M26" i="15"/>
  <c r="N26" i="15"/>
  <c r="O26" i="15"/>
  <c r="N50" i="15" s="1"/>
  <c r="P26" i="15"/>
  <c r="Q26" i="15"/>
  <c r="R26" i="15"/>
  <c r="C26" i="7" s="1"/>
  <c r="D27" i="15"/>
  <c r="E27" i="15"/>
  <c r="F27" i="15"/>
  <c r="G27" i="15"/>
  <c r="H27" i="15"/>
  <c r="I27" i="15"/>
  <c r="J27" i="15"/>
  <c r="K27" i="15"/>
  <c r="L27" i="15"/>
  <c r="M27" i="15"/>
  <c r="N27" i="15"/>
  <c r="O27" i="15"/>
  <c r="P27" i="15"/>
  <c r="Q27" i="15"/>
  <c r="R27" i="15"/>
  <c r="C27" i="7" s="1"/>
  <c r="D28" i="15"/>
  <c r="E28" i="15"/>
  <c r="F28" i="15"/>
  <c r="G28" i="15"/>
  <c r="H28" i="15"/>
  <c r="I28" i="15"/>
  <c r="J28" i="15"/>
  <c r="K28" i="15"/>
  <c r="L28" i="15"/>
  <c r="M28" i="15"/>
  <c r="N28" i="15"/>
  <c r="O28" i="15"/>
  <c r="P28" i="15"/>
  <c r="Q28" i="15"/>
  <c r="R28" i="15"/>
  <c r="D29" i="15"/>
  <c r="E29" i="15"/>
  <c r="E53" i="15" s="1"/>
  <c r="F29" i="15"/>
  <c r="G29" i="15"/>
  <c r="H29" i="15"/>
  <c r="H53" i="15" s="1"/>
  <c r="I29" i="15"/>
  <c r="J29" i="15"/>
  <c r="I53" i="15" s="1"/>
  <c r="K29" i="15"/>
  <c r="L29" i="15"/>
  <c r="M29" i="15"/>
  <c r="M53" i="15" s="1"/>
  <c r="N29" i="15"/>
  <c r="O29" i="15"/>
  <c r="P29" i="15"/>
  <c r="P53" i="15" s="1"/>
  <c r="Q29" i="15"/>
  <c r="R29" i="15"/>
  <c r="C29" i="7" s="1"/>
  <c r="D30" i="15"/>
  <c r="E30" i="15"/>
  <c r="F30" i="15"/>
  <c r="F54" i="15" s="1"/>
  <c r="G30" i="15"/>
  <c r="H30" i="15"/>
  <c r="I30" i="15"/>
  <c r="H54" i="15" s="1"/>
  <c r="J30" i="15"/>
  <c r="K30" i="15"/>
  <c r="L30" i="15"/>
  <c r="M30" i="15"/>
  <c r="N30" i="15"/>
  <c r="N54" i="15" s="1"/>
  <c r="O30" i="15"/>
  <c r="P30" i="15"/>
  <c r="Q30" i="15"/>
  <c r="P54" i="15" s="1"/>
  <c r="R30" i="15"/>
  <c r="D31" i="15"/>
  <c r="E31" i="15"/>
  <c r="E32" i="15" s="1"/>
  <c r="F31" i="15"/>
  <c r="G31" i="15"/>
  <c r="H31" i="15"/>
  <c r="I31" i="15"/>
  <c r="J31" i="15"/>
  <c r="I55" i="15" s="1"/>
  <c r="K31" i="15"/>
  <c r="L31" i="15"/>
  <c r="M31" i="15"/>
  <c r="M32" i="15" s="1"/>
  <c r="N31" i="15"/>
  <c r="O31" i="15"/>
  <c r="P31" i="15"/>
  <c r="Q31" i="15"/>
  <c r="R31" i="15"/>
  <c r="C31" i="7" s="1"/>
  <c r="E12" i="15"/>
  <c r="F12" i="15"/>
  <c r="X5" i="15" s="1"/>
  <c r="G12" i="15"/>
  <c r="Y5" i="15" s="1"/>
  <c r="H12" i="15"/>
  <c r="Z5" i="15" s="1"/>
  <c r="I12" i="15"/>
  <c r="I32" i="15" s="1"/>
  <c r="J12" i="15"/>
  <c r="K12" i="15"/>
  <c r="K32" i="15" s="1"/>
  <c r="L12" i="15"/>
  <c r="AD5" i="15" s="1"/>
  <c r="M12" i="15"/>
  <c r="N12" i="15"/>
  <c r="AF5" i="15" s="1"/>
  <c r="O12" i="15"/>
  <c r="O32" i="15" s="1"/>
  <c r="P12" i="15"/>
  <c r="AH5" i="15" s="1"/>
  <c r="Q12" i="15"/>
  <c r="Q32" i="15" s="1"/>
  <c r="R12" i="15"/>
  <c r="AJ5" i="15" s="1"/>
  <c r="D43" i="15"/>
  <c r="V5" i="15"/>
  <c r="AI78" i="17"/>
  <c r="AH78" i="17"/>
  <c r="AG78" i="17"/>
  <c r="AF78" i="17"/>
  <c r="AE78" i="17"/>
  <c r="AD78" i="17"/>
  <c r="AC78" i="17"/>
  <c r="AB78" i="17"/>
  <c r="AA78" i="17"/>
  <c r="Z78" i="17"/>
  <c r="Y78" i="17"/>
  <c r="X78" i="17"/>
  <c r="W78" i="17"/>
  <c r="V78" i="17"/>
  <c r="AI77" i="17"/>
  <c r="AH77" i="17"/>
  <c r="AG77" i="17"/>
  <c r="AF77" i="17"/>
  <c r="AE77" i="17"/>
  <c r="AD77" i="17"/>
  <c r="AC77" i="17"/>
  <c r="AB77" i="17"/>
  <c r="AA77" i="17"/>
  <c r="Z77" i="17"/>
  <c r="Y77" i="17"/>
  <c r="X77" i="17"/>
  <c r="W77" i="17"/>
  <c r="V77" i="17"/>
  <c r="AI76" i="17"/>
  <c r="AH76" i="17"/>
  <c r="AG76" i="17"/>
  <c r="AF76" i="17"/>
  <c r="AE76" i="17"/>
  <c r="AD76" i="17"/>
  <c r="AC76" i="17"/>
  <c r="AB76" i="17"/>
  <c r="AA76" i="17"/>
  <c r="Z76" i="17"/>
  <c r="Y76" i="17"/>
  <c r="X76" i="17"/>
  <c r="W76" i="17"/>
  <c r="V76" i="17"/>
  <c r="AI75" i="17"/>
  <c r="AH75" i="17"/>
  <c r="AG75" i="17"/>
  <c r="AF75" i="17"/>
  <c r="AE75" i="17"/>
  <c r="AD75" i="17"/>
  <c r="AC75" i="17"/>
  <c r="AB75" i="17"/>
  <c r="AA75" i="17"/>
  <c r="Z75" i="17"/>
  <c r="Y75" i="17"/>
  <c r="X75" i="17"/>
  <c r="W75" i="17"/>
  <c r="V75" i="17"/>
  <c r="AI74" i="17"/>
  <c r="AH74" i="17"/>
  <c r="AG74" i="17"/>
  <c r="AF74" i="17"/>
  <c r="AE74" i="17"/>
  <c r="AD74" i="17"/>
  <c r="AC74" i="17"/>
  <c r="AB74" i="17"/>
  <c r="AA74" i="17"/>
  <c r="Z74" i="17"/>
  <c r="Y74" i="17"/>
  <c r="X74" i="17"/>
  <c r="W74" i="17"/>
  <c r="V74" i="17"/>
  <c r="AI73" i="17"/>
  <c r="AH73" i="17"/>
  <c r="AG73" i="17"/>
  <c r="AF73" i="17"/>
  <c r="AE73" i="17"/>
  <c r="AD73" i="17"/>
  <c r="AC73" i="17"/>
  <c r="AB73" i="17"/>
  <c r="AA73" i="17"/>
  <c r="Z73" i="17"/>
  <c r="Y73" i="17"/>
  <c r="X73" i="17"/>
  <c r="W73" i="17"/>
  <c r="V73" i="17"/>
  <c r="AI72" i="17"/>
  <c r="AH72" i="17"/>
  <c r="AG72" i="17"/>
  <c r="AF72" i="17"/>
  <c r="AE72" i="17"/>
  <c r="AD72" i="17"/>
  <c r="AC72" i="17"/>
  <c r="AB72" i="17"/>
  <c r="AA72" i="17"/>
  <c r="Z72" i="17"/>
  <c r="Y72" i="17"/>
  <c r="X72" i="17"/>
  <c r="W72" i="17"/>
  <c r="V72" i="17"/>
  <c r="AI71" i="17"/>
  <c r="AH71" i="17"/>
  <c r="AG71" i="17"/>
  <c r="AF71" i="17"/>
  <c r="AE71" i="17"/>
  <c r="AD71" i="17"/>
  <c r="AC71" i="17"/>
  <c r="AB71" i="17"/>
  <c r="AA71" i="17"/>
  <c r="Z71" i="17"/>
  <c r="Y71" i="17"/>
  <c r="X71" i="17"/>
  <c r="W71" i="17"/>
  <c r="V71" i="17"/>
  <c r="AI70" i="17"/>
  <c r="AH70" i="17"/>
  <c r="AG70" i="17"/>
  <c r="AF70" i="17"/>
  <c r="AE70" i="17"/>
  <c r="AD70" i="17"/>
  <c r="AC70" i="17"/>
  <c r="AB70" i="17"/>
  <c r="AA70" i="17"/>
  <c r="Z70" i="17"/>
  <c r="Y70" i="17"/>
  <c r="X70" i="17"/>
  <c r="W70" i="17"/>
  <c r="V70" i="17"/>
  <c r="AI69" i="17"/>
  <c r="AH69" i="17"/>
  <c r="AG69" i="17"/>
  <c r="AF69" i="17"/>
  <c r="AE69" i="17"/>
  <c r="AD69" i="17"/>
  <c r="AC69" i="17"/>
  <c r="AB69" i="17"/>
  <c r="AA69" i="17"/>
  <c r="Z69" i="17"/>
  <c r="Y69" i="17"/>
  <c r="X69" i="17"/>
  <c r="W69" i="17"/>
  <c r="V69" i="17"/>
  <c r="AI68" i="17"/>
  <c r="AH68" i="17"/>
  <c r="AG68" i="17"/>
  <c r="AF68" i="17"/>
  <c r="AE68" i="17"/>
  <c r="AD68" i="17"/>
  <c r="AC68" i="17"/>
  <c r="AB68" i="17"/>
  <c r="AA68" i="17"/>
  <c r="Z68" i="17"/>
  <c r="Y68" i="17"/>
  <c r="X68" i="17"/>
  <c r="W68" i="17"/>
  <c r="V68" i="17"/>
  <c r="AI67" i="17"/>
  <c r="AH67" i="17"/>
  <c r="AG67" i="17"/>
  <c r="AF67" i="17"/>
  <c r="AE67" i="17"/>
  <c r="AD67" i="17"/>
  <c r="AC67" i="17"/>
  <c r="AB67" i="17"/>
  <c r="AA67" i="17"/>
  <c r="Z67" i="17"/>
  <c r="Y67" i="17"/>
  <c r="X67" i="17"/>
  <c r="W67" i="17"/>
  <c r="V67" i="17"/>
  <c r="AI66" i="17"/>
  <c r="AH66" i="17"/>
  <c r="AG66" i="17"/>
  <c r="AF66" i="17"/>
  <c r="AE66" i="17"/>
  <c r="AD66" i="17"/>
  <c r="AC66" i="17"/>
  <c r="AB66" i="17"/>
  <c r="AA66" i="17"/>
  <c r="Z66" i="17"/>
  <c r="Y66" i="17"/>
  <c r="X66" i="17"/>
  <c r="W66" i="17"/>
  <c r="V66" i="17"/>
  <c r="AI65" i="17"/>
  <c r="AH65" i="17"/>
  <c r="AG65" i="17"/>
  <c r="AF65" i="17"/>
  <c r="AE65" i="17"/>
  <c r="AD65" i="17"/>
  <c r="AC65" i="17"/>
  <c r="AB65" i="17"/>
  <c r="AA65" i="17"/>
  <c r="Z65" i="17"/>
  <c r="Y65" i="17"/>
  <c r="X65" i="17"/>
  <c r="W65" i="17"/>
  <c r="V65" i="17"/>
  <c r="AI64" i="17"/>
  <c r="AH64" i="17"/>
  <c r="AG64" i="17"/>
  <c r="AF64" i="17"/>
  <c r="AE64" i="17"/>
  <c r="AD64" i="17"/>
  <c r="AC64" i="17"/>
  <c r="AB64" i="17"/>
  <c r="AA64" i="17"/>
  <c r="Z64" i="17"/>
  <c r="Y64" i="17"/>
  <c r="X64" i="17"/>
  <c r="W64" i="17"/>
  <c r="V64" i="17"/>
  <c r="AI63" i="17"/>
  <c r="AI79" i="17" s="1"/>
  <c r="AH63" i="17"/>
  <c r="AH79" i="17" s="1"/>
  <c r="AG63" i="17"/>
  <c r="AG79" i="17" s="1"/>
  <c r="AF63" i="17"/>
  <c r="AF79" i="17" s="1"/>
  <c r="AE63" i="17"/>
  <c r="AE79" i="17" s="1"/>
  <c r="AD63" i="17"/>
  <c r="AD79" i="17" s="1"/>
  <c r="AC63" i="17"/>
  <c r="AC79" i="17" s="1"/>
  <c r="AB63" i="17"/>
  <c r="AB79" i="17" s="1"/>
  <c r="AA63" i="17"/>
  <c r="AA79" i="17" s="1"/>
  <c r="Z63" i="17"/>
  <c r="Z79" i="17" s="1"/>
  <c r="Y63" i="17"/>
  <c r="Y79" i="17" s="1"/>
  <c r="X63" i="17"/>
  <c r="X79" i="17" s="1"/>
  <c r="W63" i="17"/>
  <c r="W79" i="17" s="1"/>
  <c r="V63" i="17"/>
  <c r="V79" i="17" s="1"/>
  <c r="AI62" i="17"/>
  <c r="AH62" i="17"/>
  <c r="AG62" i="17"/>
  <c r="AF62" i="17"/>
  <c r="AE62" i="17"/>
  <c r="AD62" i="17"/>
  <c r="AC62" i="17"/>
  <c r="AB62" i="17"/>
  <c r="AA62" i="17"/>
  <c r="Z62" i="17"/>
  <c r="Y62" i="17"/>
  <c r="X62" i="17"/>
  <c r="W62" i="17"/>
  <c r="V62" i="17"/>
  <c r="AI61" i="17"/>
  <c r="AH61" i="17"/>
  <c r="AG61" i="17"/>
  <c r="AF61" i="17"/>
  <c r="AE61" i="17"/>
  <c r="AD61" i="17"/>
  <c r="AC61" i="17"/>
  <c r="AB61" i="17"/>
  <c r="AA61" i="17"/>
  <c r="Z61" i="17"/>
  <c r="Y61" i="17"/>
  <c r="X61" i="17"/>
  <c r="W61" i="17"/>
  <c r="V61" i="17"/>
  <c r="AI60" i="17"/>
  <c r="AH60" i="17"/>
  <c r="AG60" i="17"/>
  <c r="AF60" i="17"/>
  <c r="AE60" i="17"/>
  <c r="AD60" i="17"/>
  <c r="AC60" i="17"/>
  <c r="AB60" i="17"/>
  <c r="AA60" i="17"/>
  <c r="Z60" i="17"/>
  <c r="Y60" i="17"/>
  <c r="X60" i="17"/>
  <c r="W60" i="17"/>
  <c r="V60" i="17"/>
  <c r="AI59" i="17"/>
  <c r="AH59" i="17"/>
  <c r="AG59" i="17"/>
  <c r="AF59" i="17"/>
  <c r="AE59" i="17"/>
  <c r="AD59" i="17"/>
  <c r="AC59" i="17"/>
  <c r="AB59" i="17"/>
  <c r="AA59" i="17"/>
  <c r="Z59" i="17"/>
  <c r="Y59" i="17"/>
  <c r="X59" i="17"/>
  <c r="W59" i="17"/>
  <c r="V59" i="17"/>
  <c r="R31" i="17"/>
  <c r="Q31" i="17"/>
  <c r="P55" i="17" s="1"/>
  <c r="P31" i="17"/>
  <c r="AH55" i="17" s="1"/>
  <c r="O31" i="17"/>
  <c r="AG55" i="17" s="1"/>
  <c r="N31" i="17"/>
  <c r="AF55" i="17" s="1"/>
  <c r="M31" i="17"/>
  <c r="L31" i="17"/>
  <c r="K31" i="17"/>
  <c r="J31" i="17"/>
  <c r="I31" i="17"/>
  <c r="H31" i="17"/>
  <c r="Z55" i="17" s="1"/>
  <c r="G31" i="17"/>
  <c r="Y55" i="17" s="1"/>
  <c r="F31" i="17"/>
  <c r="X55" i="17" s="1"/>
  <c r="E31" i="17"/>
  <c r="D31" i="17"/>
  <c r="V55" i="17" s="1"/>
  <c r="R30" i="17"/>
  <c r="Q30" i="17"/>
  <c r="P30" i="17"/>
  <c r="O30" i="17"/>
  <c r="N30" i="17"/>
  <c r="M30" i="17"/>
  <c r="AE54" i="17" s="1"/>
  <c r="L30" i="17"/>
  <c r="K30" i="17"/>
  <c r="J30" i="17"/>
  <c r="I30" i="17"/>
  <c r="H30" i="17"/>
  <c r="G54" i="17" s="1"/>
  <c r="G30" i="17"/>
  <c r="F30" i="17"/>
  <c r="E30" i="17"/>
  <c r="W54" i="17" s="1"/>
  <c r="D30" i="17"/>
  <c r="R29" i="17"/>
  <c r="Q29" i="17"/>
  <c r="AI53" i="17" s="1"/>
  <c r="P29" i="17"/>
  <c r="AH53" i="17" s="1"/>
  <c r="O29" i="17"/>
  <c r="N53" i="17" s="1"/>
  <c r="N29" i="17"/>
  <c r="M29" i="17"/>
  <c r="L29" i="17"/>
  <c r="K29" i="17"/>
  <c r="J29" i="17"/>
  <c r="I29" i="17"/>
  <c r="AA53" i="17" s="1"/>
  <c r="H29" i="17"/>
  <c r="Z53" i="17" s="1"/>
  <c r="G29" i="17"/>
  <c r="F53" i="17" s="1"/>
  <c r="F29" i="17"/>
  <c r="E29" i="17"/>
  <c r="D29" i="17"/>
  <c r="V53" i="17" s="1"/>
  <c r="R28" i="17"/>
  <c r="Q28" i="17"/>
  <c r="P28" i="17"/>
  <c r="O28" i="17"/>
  <c r="AG52" i="17" s="1"/>
  <c r="N28" i="17"/>
  <c r="AF52" i="17" s="1"/>
  <c r="M28" i="17"/>
  <c r="AE52" i="17" s="1"/>
  <c r="L28" i="17"/>
  <c r="K28" i="17"/>
  <c r="J28" i="17"/>
  <c r="I28" i="17"/>
  <c r="H28" i="17"/>
  <c r="G28" i="17"/>
  <c r="Y52" i="17" s="1"/>
  <c r="F28" i="17"/>
  <c r="X52" i="17" s="1"/>
  <c r="E28" i="17"/>
  <c r="W52" i="17" s="1"/>
  <c r="D28" i="17"/>
  <c r="V52" i="17" s="1"/>
  <c r="R27" i="17"/>
  <c r="AJ51" i="17" s="1"/>
  <c r="Q27" i="17"/>
  <c r="P27" i="17"/>
  <c r="O27" i="17"/>
  <c r="N27" i="17"/>
  <c r="M27" i="17"/>
  <c r="L51" i="17" s="1"/>
  <c r="L27" i="17"/>
  <c r="AD51" i="17" s="1"/>
  <c r="K27" i="17"/>
  <c r="AC51" i="17" s="1"/>
  <c r="J27" i="17"/>
  <c r="AB51" i="17" s="1"/>
  <c r="I27" i="17"/>
  <c r="H27" i="17"/>
  <c r="G27" i="17"/>
  <c r="F27" i="17"/>
  <c r="E27" i="17"/>
  <c r="D51" i="17" s="1"/>
  <c r="D27" i="17"/>
  <c r="V51" i="17" s="1"/>
  <c r="R26" i="17"/>
  <c r="Q26" i="17"/>
  <c r="AI50" i="17" s="1"/>
  <c r="P26" i="17"/>
  <c r="O26" i="17"/>
  <c r="N26" i="17"/>
  <c r="M26" i="17"/>
  <c r="L26" i="17"/>
  <c r="K50" i="17" s="1"/>
  <c r="K26" i="17"/>
  <c r="J26" i="17"/>
  <c r="I26" i="17"/>
  <c r="AA50" i="17" s="1"/>
  <c r="H26" i="17"/>
  <c r="G50" i="17" s="1"/>
  <c r="G26" i="17"/>
  <c r="F26" i="17"/>
  <c r="E26" i="17"/>
  <c r="D26" i="17"/>
  <c r="V50" i="17" s="1"/>
  <c r="R25" i="17"/>
  <c r="Q25" i="17"/>
  <c r="P25" i="17"/>
  <c r="O25" i="17"/>
  <c r="N25" i="17"/>
  <c r="M25" i="17"/>
  <c r="AE49" i="17" s="1"/>
  <c r="L25" i="17"/>
  <c r="AD49" i="17" s="1"/>
  <c r="K25" i="17"/>
  <c r="J49" i="17" s="1"/>
  <c r="J25" i="17"/>
  <c r="I25" i="17"/>
  <c r="H25" i="17"/>
  <c r="G25" i="17"/>
  <c r="F25" i="17"/>
  <c r="E25" i="17"/>
  <c r="W49" i="17" s="1"/>
  <c r="D25" i="17"/>
  <c r="V49" i="17" s="1"/>
  <c r="R24" i="17"/>
  <c r="AJ48" i="17" s="1"/>
  <c r="Q24" i="17"/>
  <c r="AI48" i="17" s="1"/>
  <c r="P24" i="17"/>
  <c r="O24" i="17"/>
  <c r="N24" i="17"/>
  <c r="M24" i="17"/>
  <c r="L24" i="17"/>
  <c r="K24" i="17"/>
  <c r="AC48" i="17" s="1"/>
  <c r="J24" i="17"/>
  <c r="AB48" i="17" s="1"/>
  <c r="I24" i="17"/>
  <c r="AA48" i="17" s="1"/>
  <c r="H24" i="17"/>
  <c r="G24" i="17"/>
  <c r="F24" i="17"/>
  <c r="E24" i="17"/>
  <c r="D24" i="17"/>
  <c r="V48" i="17" s="1"/>
  <c r="R23" i="17"/>
  <c r="Q23" i="17"/>
  <c r="P47" i="17" s="1"/>
  <c r="P23" i="17"/>
  <c r="O23" i="17"/>
  <c r="AG47" i="17" s="1"/>
  <c r="N23" i="17"/>
  <c r="AF47" i="17" s="1"/>
  <c r="M23" i="17"/>
  <c r="L23" i="17"/>
  <c r="K23" i="17"/>
  <c r="J23" i="17"/>
  <c r="I23" i="17"/>
  <c r="H47" i="17" s="1"/>
  <c r="H23" i="17"/>
  <c r="Z47" i="17" s="1"/>
  <c r="G23" i="17"/>
  <c r="Y47" i="17" s="1"/>
  <c r="F23" i="17"/>
  <c r="X47" i="17" s="1"/>
  <c r="E23" i="17"/>
  <c r="D23" i="17"/>
  <c r="V47" i="17" s="1"/>
  <c r="R22" i="17"/>
  <c r="Q22" i="17"/>
  <c r="P22" i="17"/>
  <c r="O46" i="17" s="1"/>
  <c r="O22" i="17"/>
  <c r="N22" i="17"/>
  <c r="M22" i="17"/>
  <c r="AE46" i="17" s="1"/>
  <c r="L22" i="17"/>
  <c r="K22" i="17"/>
  <c r="J22" i="17"/>
  <c r="I22" i="17"/>
  <c r="H22" i="17"/>
  <c r="G46" i="17" s="1"/>
  <c r="G22" i="17"/>
  <c r="F22" i="17"/>
  <c r="E22" i="17"/>
  <c r="W46" i="17" s="1"/>
  <c r="D22" i="17"/>
  <c r="R21" i="17"/>
  <c r="Q21" i="17"/>
  <c r="AI45" i="17" s="1"/>
  <c r="P21" i="17"/>
  <c r="AH45" i="17" s="1"/>
  <c r="O21" i="17"/>
  <c r="N45" i="17" s="1"/>
  <c r="N21" i="17"/>
  <c r="M21" i="17"/>
  <c r="L21" i="17"/>
  <c r="K21" i="17"/>
  <c r="J21" i="17"/>
  <c r="I21" i="17"/>
  <c r="AA45" i="17" s="1"/>
  <c r="H21" i="17"/>
  <c r="Z45" i="17" s="1"/>
  <c r="G21" i="17"/>
  <c r="F45" i="17" s="1"/>
  <c r="F21" i="17"/>
  <c r="E21" i="17"/>
  <c r="D21" i="17"/>
  <c r="V45" i="17" s="1"/>
  <c r="R20" i="17"/>
  <c r="Q20" i="17"/>
  <c r="P20" i="17"/>
  <c r="O20" i="17"/>
  <c r="AG44" i="17" s="1"/>
  <c r="N20" i="17"/>
  <c r="AF44" i="17" s="1"/>
  <c r="M20" i="17"/>
  <c r="AE44" i="17" s="1"/>
  <c r="L20" i="17"/>
  <c r="K20" i="17"/>
  <c r="J20" i="17"/>
  <c r="I20" i="17"/>
  <c r="H20" i="17"/>
  <c r="G20" i="17"/>
  <c r="Y44" i="17" s="1"/>
  <c r="F20" i="17"/>
  <c r="X44" i="17" s="1"/>
  <c r="E20" i="17"/>
  <c r="W44" i="17" s="1"/>
  <c r="D20" i="17"/>
  <c r="V44" i="17" s="1"/>
  <c r="R19" i="17"/>
  <c r="AJ43" i="17" s="1"/>
  <c r="Q19" i="17"/>
  <c r="P19" i="17"/>
  <c r="O19" i="17"/>
  <c r="N19" i="17"/>
  <c r="M19" i="17"/>
  <c r="L43" i="17" s="1"/>
  <c r="L19" i="17"/>
  <c r="AD43" i="17" s="1"/>
  <c r="K19" i="17"/>
  <c r="AC43" i="17" s="1"/>
  <c r="J19" i="17"/>
  <c r="AB43" i="17" s="1"/>
  <c r="I19" i="17"/>
  <c r="H19" i="17"/>
  <c r="G19" i="17"/>
  <c r="F19" i="17"/>
  <c r="E19" i="17"/>
  <c r="D43" i="17" s="1"/>
  <c r="D19" i="17"/>
  <c r="V43" i="17" s="1"/>
  <c r="R18" i="17"/>
  <c r="Q18" i="17"/>
  <c r="AI42" i="17" s="1"/>
  <c r="P18" i="17"/>
  <c r="AH42" i="17" s="1"/>
  <c r="O18" i="17"/>
  <c r="N18" i="17"/>
  <c r="M18" i="17"/>
  <c r="L18" i="17"/>
  <c r="K42" i="17" s="1"/>
  <c r="K18" i="17"/>
  <c r="J18" i="17"/>
  <c r="I18" i="17"/>
  <c r="AA42" i="17" s="1"/>
  <c r="H18" i="17"/>
  <c r="Z42" i="17" s="1"/>
  <c r="G18" i="17"/>
  <c r="F18" i="17"/>
  <c r="E18" i="17"/>
  <c r="D18" i="17"/>
  <c r="V42" i="17" s="1"/>
  <c r="R17" i="17"/>
  <c r="Q17" i="17"/>
  <c r="P17" i="17"/>
  <c r="O17" i="17"/>
  <c r="N41" i="17" s="1"/>
  <c r="N17" i="17"/>
  <c r="AF41" i="17" s="1"/>
  <c r="M17" i="17"/>
  <c r="AE41" i="17" s="1"/>
  <c r="L17" i="17"/>
  <c r="AD41" i="17" s="1"/>
  <c r="K17" i="17"/>
  <c r="J41" i="17" s="1"/>
  <c r="J17" i="17"/>
  <c r="I17" i="17"/>
  <c r="H17" i="17"/>
  <c r="G17" i="17"/>
  <c r="F41" i="17" s="1"/>
  <c r="F17" i="17"/>
  <c r="X41" i="17" s="1"/>
  <c r="E17" i="17"/>
  <c r="W41" i="17" s="1"/>
  <c r="D17" i="17"/>
  <c r="V41" i="17" s="1"/>
  <c r="R16" i="17"/>
  <c r="AJ40" i="17" s="1"/>
  <c r="Q16" i="17"/>
  <c r="AI40" i="17" s="1"/>
  <c r="P16" i="17"/>
  <c r="O16" i="17"/>
  <c r="N16" i="17"/>
  <c r="M16" i="17"/>
  <c r="L16" i="17"/>
  <c r="K16" i="17"/>
  <c r="AC40" i="17" s="1"/>
  <c r="J16" i="17"/>
  <c r="AB40" i="17" s="1"/>
  <c r="I16" i="17"/>
  <c r="AA40" i="17" s="1"/>
  <c r="H16" i="17"/>
  <c r="G16" i="17"/>
  <c r="F16" i="17"/>
  <c r="E16" i="17"/>
  <c r="D16" i="17"/>
  <c r="V40" i="17" s="1"/>
  <c r="R15" i="17"/>
  <c r="Q15" i="17"/>
  <c r="P39" i="17" s="1"/>
  <c r="P15" i="17"/>
  <c r="O15" i="17"/>
  <c r="AG39" i="17" s="1"/>
  <c r="N15" i="17"/>
  <c r="AF39" i="17" s="1"/>
  <c r="M15" i="17"/>
  <c r="L15" i="17"/>
  <c r="K15" i="17"/>
  <c r="J15" i="17"/>
  <c r="I15" i="17"/>
  <c r="H39" i="17" s="1"/>
  <c r="H15" i="17"/>
  <c r="G15" i="17"/>
  <c r="Y39" i="17" s="1"/>
  <c r="F15" i="17"/>
  <c r="X39" i="17" s="1"/>
  <c r="E15" i="17"/>
  <c r="D15" i="17"/>
  <c r="V39" i="17" s="1"/>
  <c r="R14" i="17"/>
  <c r="Q14" i="17"/>
  <c r="P14" i="17"/>
  <c r="O38" i="17" s="1"/>
  <c r="O14" i="17"/>
  <c r="N14" i="17"/>
  <c r="M14" i="17"/>
  <c r="AE38" i="17" s="1"/>
  <c r="L14" i="17"/>
  <c r="AD38" i="17" s="1"/>
  <c r="K14" i="17"/>
  <c r="J14" i="17"/>
  <c r="I14" i="17"/>
  <c r="H14" i="17"/>
  <c r="G38" i="17" s="1"/>
  <c r="G14" i="17"/>
  <c r="F14" i="17"/>
  <c r="E14" i="17"/>
  <c r="D38" i="17" s="1"/>
  <c r="D14" i="17"/>
  <c r="V38" i="17" s="1"/>
  <c r="R13" i="17"/>
  <c r="AJ37" i="17" s="1"/>
  <c r="Q13" i="17"/>
  <c r="AI37" i="17" s="1"/>
  <c r="P13" i="17"/>
  <c r="AH37" i="17" s="1"/>
  <c r="O13" i="17"/>
  <c r="N37" i="17" s="1"/>
  <c r="N13" i="17"/>
  <c r="M13" i="17"/>
  <c r="L13" i="17"/>
  <c r="K13" i="17"/>
  <c r="J37" i="17" s="1"/>
  <c r="J13" i="17"/>
  <c r="AB37" i="17" s="1"/>
  <c r="I13" i="17"/>
  <c r="AA37" i="17" s="1"/>
  <c r="H13" i="17"/>
  <c r="Z37" i="17" s="1"/>
  <c r="G13" i="17"/>
  <c r="F37" i="17" s="1"/>
  <c r="F13" i="17"/>
  <c r="E13" i="17"/>
  <c r="D13" i="17"/>
  <c r="V37" i="17" s="1"/>
  <c r="R12" i="17"/>
  <c r="R32" i="17" s="1"/>
  <c r="Q12" i="17"/>
  <c r="Q32" i="17" s="1"/>
  <c r="P12" i="17"/>
  <c r="P32" i="17" s="1"/>
  <c r="O12" i="17"/>
  <c r="O32" i="17" s="1"/>
  <c r="N12" i="17"/>
  <c r="AF36" i="17" s="1"/>
  <c r="M12" i="17"/>
  <c r="AE36" i="17" s="1"/>
  <c r="L12" i="17"/>
  <c r="L32" i="17" s="1"/>
  <c r="K12" i="17"/>
  <c r="J12" i="17"/>
  <c r="J32" i="17" s="1"/>
  <c r="I12" i="17"/>
  <c r="I32" i="17" s="1"/>
  <c r="H12" i="17"/>
  <c r="H32" i="17" s="1"/>
  <c r="G12" i="17"/>
  <c r="G32" i="17" s="1"/>
  <c r="F12" i="17"/>
  <c r="X36" i="17" s="1"/>
  <c r="E12" i="17"/>
  <c r="W36" i="17" s="1"/>
  <c r="D12" i="17"/>
  <c r="V36" i="17" s="1"/>
  <c r="AI55" i="15"/>
  <c r="AH55" i="15"/>
  <c r="AG55" i="15"/>
  <c r="AF55" i="15"/>
  <c r="AE55" i="15"/>
  <c r="AD55" i="15"/>
  <c r="AC55" i="15"/>
  <c r="AB55" i="15"/>
  <c r="AA55" i="15"/>
  <c r="Z55" i="15"/>
  <c r="Y55" i="15"/>
  <c r="X55" i="15"/>
  <c r="W55" i="15"/>
  <c r="V55" i="15"/>
  <c r="P55" i="15"/>
  <c r="K55" i="15"/>
  <c r="H55" i="15"/>
  <c r="AI54" i="15"/>
  <c r="AH54" i="15"/>
  <c r="AG54" i="15"/>
  <c r="AF54" i="15"/>
  <c r="AE54" i="15"/>
  <c r="AD54" i="15"/>
  <c r="AC54" i="15"/>
  <c r="AB54" i="15"/>
  <c r="AA54" i="15"/>
  <c r="Z54" i="15"/>
  <c r="Y54" i="15"/>
  <c r="X54" i="15"/>
  <c r="W54" i="15"/>
  <c r="V54" i="15"/>
  <c r="O54" i="15"/>
  <c r="G54" i="15"/>
  <c r="AI53" i="15"/>
  <c r="AH53" i="15"/>
  <c r="AG53" i="15"/>
  <c r="AF53" i="15"/>
  <c r="AE53" i="15"/>
  <c r="AD53" i="15"/>
  <c r="AC53" i="15"/>
  <c r="AB53" i="15"/>
  <c r="AA53" i="15"/>
  <c r="Z53" i="15"/>
  <c r="Y53" i="15"/>
  <c r="X53" i="15"/>
  <c r="W53" i="15"/>
  <c r="V53" i="15"/>
  <c r="N53" i="15"/>
  <c r="F53" i="15"/>
  <c r="AI52" i="15"/>
  <c r="AH52" i="15"/>
  <c r="AG52" i="15"/>
  <c r="AF52" i="15"/>
  <c r="AE52" i="15"/>
  <c r="AD52" i="15"/>
  <c r="AC52" i="15"/>
  <c r="AB52" i="15"/>
  <c r="AA52" i="15"/>
  <c r="Z52" i="15"/>
  <c r="Y52" i="15"/>
  <c r="X52" i="15"/>
  <c r="W52" i="15"/>
  <c r="V52" i="15"/>
  <c r="P52" i="15"/>
  <c r="M52" i="15"/>
  <c r="H52" i="15"/>
  <c r="E52" i="15"/>
  <c r="AI51" i="15"/>
  <c r="AH51" i="15"/>
  <c r="AG51" i="15"/>
  <c r="AF51" i="15"/>
  <c r="AE51" i="15"/>
  <c r="AD51" i="15"/>
  <c r="AC51" i="15"/>
  <c r="AB51" i="15"/>
  <c r="AA51" i="15"/>
  <c r="Z51" i="15"/>
  <c r="Y51" i="15"/>
  <c r="X51" i="15"/>
  <c r="W51" i="15"/>
  <c r="V51" i="15"/>
  <c r="O51" i="15"/>
  <c r="L51" i="15"/>
  <c r="G51" i="15"/>
  <c r="AI50" i="15"/>
  <c r="AH50" i="15"/>
  <c r="AG50" i="15"/>
  <c r="AF50" i="15"/>
  <c r="AE50" i="15"/>
  <c r="AD50" i="15"/>
  <c r="AC50" i="15"/>
  <c r="AB50" i="15"/>
  <c r="AA50" i="15"/>
  <c r="Z50" i="15"/>
  <c r="Y50" i="15"/>
  <c r="X50" i="15"/>
  <c r="W50" i="15"/>
  <c r="V50" i="15"/>
  <c r="K50" i="15"/>
  <c r="F50" i="15"/>
  <c r="AI49" i="15"/>
  <c r="AH49" i="15"/>
  <c r="AG49" i="15"/>
  <c r="AF49" i="15"/>
  <c r="AE49" i="15"/>
  <c r="AD49" i="15"/>
  <c r="AC49" i="15"/>
  <c r="AB49" i="15"/>
  <c r="AA49" i="15"/>
  <c r="Z49" i="15"/>
  <c r="Y49" i="15"/>
  <c r="X49" i="15"/>
  <c r="W49" i="15"/>
  <c r="V49" i="15"/>
  <c r="M49" i="15"/>
  <c r="J49" i="15"/>
  <c r="I49" i="15"/>
  <c r="E49" i="15"/>
  <c r="AI48" i="15"/>
  <c r="AH48" i="15"/>
  <c r="AG48" i="15"/>
  <c r="AF48" i="15"/>
  <c r="AE48" i="15"/>
  <c r="AD48" i="15"/>
  <c r="AC48" i="15"/>
  <c r="AB48" i="15"/>
  <c r="AA48" i="15"/>
  <c r="Z48" i="15"/>
  <c r="Y48" i="15"/>
  <c r="X48" i="15"/>
  <c r="W48" i="15"/>
  <c r="V48" i="15"/>
  <c r="Q48" i="15"/>
  <c r="I48" i="15"/>
  <c r="AI47" i="15"/>
  <c r="AH47" i="15"/>
  <c r="AG47" i="15"/>
  <c r="AF47" i="15"/>
  <c r="AE47" i="15"/>
  <c r="AD47" i="15"/>
  <c r="AC47" i="15"/>
  <c r="AB47" i="15"/>
  <c r="AA47" i="15"/>
  <c r="Z47" i="15"/>
  <c r="Y47" i="15"/>
  <c r="X47" i="15"/>
  <c r="W47" i="15"/>
  <c r="V47" i="15"/>
  <c r="P47" i="15"/>
  <c r="K47" i="15"/>
  <c r="H47" i="15"/>
  <c r="AI46" i="15"/>
  <c r="AH46" i="15"/>
  <c r="AG46" i="15"/>
  <c r="AF46" i="15"/>
  <c r="AE46" i="15"/>
  <c r="AD46" i="15"/>
  <c r="AC46" i="15"/>
  <c r="AB46" i="15"/>
  <c r="AA46" i="15"/>
  <c r="Z46" i="15"/>
  <c r="Y46" i="15"/>
  <c r="X46" i="15"/>
  <c r="W46" i="15"/>
  <c r="V46" i="15"/>
  <c r="O46" i="15"/>
  <c r="J46" i="15"/>
  <c r="G46" i="15"/>
  <c r="AI45" i="15"/>
  <c r="AH45" i="15"/>
  <c r="AG45" i="15"/>
  <c r="AF45" i="15"/>
  <c r="AE45" i="15"/>
  <c r="AD45" i="15"/>
  <c r="AC45" i="15"/>
  <c r="AB45" i="15"/>
  <c r="AA45" i="15"/>
  <c r="Z45" i="15"/>
  <c r="Y45" i="15"/>
  <c r="X45" i="15"/>
  <c r="W45" i="15"/>
  <c r="V45" i="15"/>
  <c r="N45" i="15"/>
  <c r="I45" i="15"/>
  <c r="F45" i="15"/>
  <c r="E45" i="15"/>
  <c r="AI44" i="15"/>
  <c r="AH44" i="15"/>
  <c r="AG44" i="15"/>
  <c r="AF44" i="15"/>
  <c r="AE44" i="15"/>
  <c r="AD44" i="15"/>
  <c r="AC44" i="15"/>
  <c r="AB44" i="15"/>
  <c r="AA44" i="15"/>
  <c r="Z44" i="15"/>
  <c r="Y44" i="15"/>
  <c r="X44" i="15"/>
  <c r="W44" i="15"/>
  <c r="V44" i="15"/>
  <c r="M44" i="15"/>
  <c r="E44" i="15"/>
  <c r="AI43" i="15"/>
  <c r="AH43" i="15"/>
  <c r="AG43" i="15"/>
  <c r="AF43" i="15"/>
  <c r="AE43" i="15"/>
  <c r="AD43" i="15"/>
  <c r="AC43" i="15"/>
  <c r="AB43" i="15"/>
  <c r="AA43" i="15"/>
  <c r="Z43" i="15"/>
  <c r="Y43" i="15"/>
  <c r="X43" i="15"/>
  <c r="W43" i="15"/>
  <c r="V43" i="15"/>
  <c r="L43" i="15"/>
  <c r="AI42" i="15"/>
  <c r="AH42" i="15"/>
  <c r="AG42" i="15"/>
  <c r="AF42" i="15"/>
  <c r="AE42" i="15"/>
  <c r="AD42" i="15"/>
  <c r="AC42" i="15"/>
  <c r="AB42" i="15"/>
  <c r="AA42" i="15"/>
  <c r="Z42" i="15"/>
  <c r="Y42" i="15"/>
  <c r="X42" i="15"/>
  <c r="W42" i="15"/>
  <c r="V42" i="15"/>
  <c r="K42" i="15"/>
  <c r="F42" i="15"/>
  <c r="AI41" i="15"/>
  <c r="AH41" i="15"/>
  <c r="AG41" i="15"/>
  <c r="AF41" i="15"/>
  <c r="AE41" i="15"/>
  <c r="AD41" i="15"/>
  <c r="AC41" i="15"/>
  <c r="AB41" i="15"/>
  <c r="AA41" i="15"/>
  <c r="Z41" i="15"/>
  <c r="Y41" i="15"/>
  <c r="X41" i="15"/>
  <c r="W41" i="15"/>
  <c r="V41" i="15"/>
  <c r="M41" i="15"/>
  <c r="J41" i="15"/>
  <c r="E41" i="15"/>
  <c r="AI40" i="15"/>
  <c r="AI56" i="15" s="1"/>
  <c r="AH40" i="15"/>
  <c r="AH56" i="15" s="1"/>
  <c r="AG40" i="15"/>
  <c r="AG56" i="15" s="1"/>
  <c r="AF40" i="15"/>
  <c r="AF56" i="15" s="1"/>
  <c r="AE40" i="15"/>
  <c r="AE56" i="15" s="1"/>
  <c r="AD40" i="15"/>
  <c r="AD56" i="15" s="1"/>
  <c r="AC40" i="15"/>
  <c r="AC56" i="15" s="1"/>
  <c r="AB40" i="15"/>
  <c r="AB56" i="15" s="1"/>
  <c r="AA40" i="15"/>
  <c r="AA56" i="15" s="1"/>
  <c r="Z40" i="15"/>
  <c r="Z56" i="15" s="1"/>
  <c r="Y40" i="15"/>
  <c r="Y56" i="15" s="1"/>
  <c r="X40" i="15"/>
  <c r="X56" i="15" s="1"/>
  <c r="W40" i="15"/>
  <c r="W56" i="15" s="1"/>
  <c r="V40" i="15"/>
  <c r="Q40" i="15"/>
  <c r="L40" i="15"/>
  <c r="I40" i="15"/>
  <c r="D40" i="15"/>
  <c r="AI39" i="15"/>
  <c r="AH39" i="15"/>
  <c r="AG39" i="15"/>
  <c r="AF39" i="15"/>
  <c r="AE39" i="15"/>
  <c r="AD39" i="15"/>
  <c r="AC39" i="15"/>
  <c r="AB39" i="15"/>
  <c r="AA39" i="15"/>
  <c r="Z39" i="15"/>
  <c r="Y39" i="15"/>
  <c r="X39" i="15"/>
  <c r="W39" i="15"/>
  <c r="V39" i="15"/>
  <c r="P39" i="15"/>
  <c r="K39" i="15"/>
  <c r="H39" i="15"/>
  <c r="AI38" i="15"/>
  <c r="AH38" i="15"/>
  <c r="AG38" i="15"/>
  <c r="AF38" i="15"/>
  <c r="AE38" i="15"/>
  <c r="AD38" i="15"/>
  <c r="AC38" i="15"/>
  <c r="AB38" i="15"/>
  <c r="AA38" i="15"/>
  <c r="Z38" i="15"/>
  <c r="Y38" i="15"/>
  <c r="X38" i="15"/>
  <c r="W38" i="15"/>
  <c r="V38" i="15"/>
  <c r="O38" i="15"/>
  <c r="N38" i="15"/>
  <c r="J38" i="15"/>
  <c r="G38" i="15"/>
  <c r="AI37" i="15"/>
  <c r="AH37" i="15"/>
  <c r="AG37" i="15"/>
  <c r="AF37" i="15"/>
  <c r="AE37" i="15"/>
  <c r="AD37" i="15"/>
  <c r="AC37" i="15"/>
  <c r="AB37" i="15"/>
  <c r="AA37" i="15"/>
  <c r="Z37" i="15"/>
  <c r="Y37" i="15"/>
  <c r="X37" i="15"/>
  <c r="W37" i="15"/>
  <c r="V37" i="15"/>
  <c r="N37" i="15"/>
  <c r="I37" i="15"/>
  <c r="H37" i="15"/>
  <c r="F37" i="15"/>
  <c r="AI36" i="15"/>
  <c r="AH36" i="15"/>
  <c r="AG36" i="15"/>
  <c r="AF36" i="15"/>
  <c r="AE36" i="15"/>
  <c r="AD36" i="15"/>
  <c r="AC36" i="15"/>
  <c r="AB36" i="15"/>
  <c r="AA36" i="15"/>
  <c r="Z36" i="15"/>
  <c r="Y36" i="15"/>
  <c r="X36" i="15"/>
  <c r="W36" i="15"/>
  <c r="V36" i="15"/>
  <c r="E36" i="15"/>
  <c r="AI8" i="15"/>
  <c r="AH8" i="15"/>
  <c r="AD8" i="15"/>
  <c r="AC8" i="15"/>
  <c r="AA8" i="15"/>
  <c r="Z8" i="15"/>
  <c r="V8" i="15"/>
  <c r="AJ7" i="15"/>
  <c r="AH7" i="15"/>
  <c r="AG7" i="15"/>
  <c r="AF7" i="15"/>
  <c r="AC7" i="15"/>
  <c r="AB7" i="15"/>
  <c r="Z7" i="15"/>
  <c r="Y7" i="15"/>
  <c r="AI6" i="15"/>
  <c r="AG6" i="15"/>
  <c r="AF6" i="15"/>
  <c r="AB6" i="15"/>
  <c r="AA6" i="15"/>
  <c r="Y6" i="15"/>
  <c r="X6" i="15"/>
  <c r="AI5" i="15"/>
  <c r="AE5" i="15"/>
  <c r="AC5" i="15"/>
  <c r="W5" i="15"/>
  <c r="Q37" i="15" l="1"/>
  <c r="Q45" i="15"/>
  <c r="Q53" i="15"/>
  <c r="AJ6" i="15"/>
  <c r="D32" i="17"/>
  <c r="E32" i="17"/>
  <c r="M32" i="17"/>
  <c r="F32" i="17"/>
  <c r="N32" i="17"/>
  <c r="O50" i="17"/>
  <c r="P38" i="15"/>
  <c r="J32" i="15"/>
  <c r="R32" i="15"/>
  <c r="D32" i="15"/>
  <c r="L32" i="15"/>
  <c r="F32" i="15"/>
  <c r="N32" i="15"/>
  <c r="L41" i="15"/>
  <c r="G32" i="15"/>
  <c r="I47" i="15"/>
  <c r="L52" i="15"/>
  <c r="D52" i="15"/>
  <c r="K51" i="15"/>
  <c r="J50" i="15"/>
  <c r="P48" i="15"/>
  <c r="H48" i="15"/>
  <c r="O47" i="15"/>
  <c r="G47" i="15"/>
  <c r="N46" i="15"/>
  <c r="F46" i="15"/>
  <c r="H32" i="15"/>
  <c r="P32" i="15"/>
  <c r="N43" i="15"/>
  <c r="O37" i="15"/>
  <c r="Q38" i="15"/>
  <c r="D51" i="15"/>
  <c r="P37" i="15"/>
  <c r="E43" i="15"/>
  <c r="L44" i="15"/>
  <c r="D44" i="15"/>
  <c r="K43" i="15"/>
  <c r="J42" i="15"/>
  <c r="Q41" i="15"/>
  <c r="I41" i="15"/>
  <c r="P40" i="15"/>
  <c r="H40" i="15"/>
  <c r="O39" i="15"/>
  <c r="M37" i="15"/>
  <c r="E37" i="15"/>
  <c r="K36" i="15"/>
  <c r="Q47" i="15"/>
  <c r="J48" i="15"/>
  <c r="K36" i="17"/>
  <c r="D37" i="17"/>
  <c r="L37" i="17"/>
  <c r="E38" i="17"/>
  <c r="M38" i="17"/>
  <c r="G40" i="17"/>
  <c r="O40" i="17"/>
  <c r="H41" i="17"/>
  <c r="P41" i="17"/>
  <c r="I42" i="17"/>
  <c r="Q42" i="17"/>
  <c r="K44" i="17"/>
  <c r="D45" i="17"/>
  <c r="L45" i="17"/>
  <c r="E46" i="17"/>
  <c r="M46" i="17"/>
  <c r="G48" i="17"/>
  <c r="O48" i="17"/>
  <c r="H49" i="17"/>
  <c r="P49" i="17"/>
  <c r="I50" i="17"/>
  <c r="Q50" i="17"/>
  <c r="K52" i="17"/>
  <c r="D53" i="17"/>
  <c r="L53" i="17"/>
  <c r="E54" i="17"/>
  <c r="M54" i="17"/>
  <c r="I43" i="15"/>
  <c r="H38" i="15"/>
  <c r="I38" i="15"/>
  <c r="M36" i="15"/>
  <c r="G37" i="15"/>
  <c r="Q55" i="15"/>
  <c r="L55" i="15"/>
  <c r="D55" i="15"/>
  <c r="K54" i="15"/>
  <c r="J53" i="15"/>
  <c r="Q52" i="15"/>
  <c r="I52" i="15"/>
  <c r="P51" i="15"/>
  <c r="H51" i="15"/>
  <c r="O50" i="15"/>
  <c r="G50" i="15"/>
  <c r="M48" i="15"/>
  <c r="E48" i="15"/>
  <c r="K46" i="15"/>
  <c r="J45" i="15"/>
  <c r="H43" i="15"/>
  <c r="N41" i="15"/>
  <c r="F41" i="15"/>
  <c r="M40" i="15"/>
  <c r="E40" i="15"/>
  <c r="J37" i="15"/>
  <c r="F36" i="17"/>
  <c r="L36" i="15"/>
  <c r="J55" i="15"/>
  <c r="Q54" i="15"/>
  <c r="J54" i="15"/>
  <c r="L49" i="15"/>
  <c r="D49" i="15"/>
  <c r="L48" i="15"/>
  <c r="D48" i="15"/>
  <c r="P45" i="15"/>
  <c r="H45" i="15"/>
  <c r="P44" i="15"/>
  <c r="H44" i="15"/>
  <c r="O43" i="15"/>
  <c r="G43" i="15"/>
  <c r="N42" i="15"/>
  <c r="D37" i="15"/>
  <c r="Q38" i="17"/>
  <c r="K40" i="17"/>
  <c r="M42" i="17"/>
  <c r="G44" i="17"/>
  <c r="E50" i="17"/>
  <c r="N51" i="17"/>
  <c r="O36" i="15"/>
  <c r="Q43" i="15"/>
  <c r="P42" i="15"/>
  <c r="W51" i="17"/>
  <c r="J39" i="17"/>
  <c r="E42" i="17"/>
  <c r="J47" i="17"/>
  <c r="K48" i="17"/>
  <c r="F51" i="17"/>
  <c r="D54" i="15"/>
  <c r="O49" i="15"/>
  <c r="G36" i="17"/>
  <c r="N43" i="17"/>
  <c r="I46" i="17"/>
  <c r="M50" i="17"/>
  <c r="O52" i="17"/>
  <c r="G49" i="15"/>
  <c r="M47" i="15"/>
  <c r="E47" i="15"/>
  <c r="J44" i="15"/>
  <c r="H42" i="15"/>
  <c r="K38" i="15"/>
  <c r="O53" i="15"/>
  <c r="P46" i="15"/>
  <c r="H46" i="15"/>
  <c r="J40" i="15"/>
  <c r="Q39" i="15"/>
  <c r="O36" i="17"/>
  <c r="I38" i="17"/>
  <c r="F43" i="17"/>
  <c r="O44" i="17"/>
  <c r="Q46" i="17"/>
  <c r="G52" i="17"/>
  <c r="P36" i="15"/>
  <c r="H36" i="15"/>
  <c r="N55" i="15"/>
  <c r="F55" i="15"/>
  <c r="P49" i="15"/>
  <c r="H49" i="15"/>
  <c r="L45" i="15"/>
  <c r="D45" i="15"/>
  <c r="W6" i="15"/>
  <c r="Q36" i="15"/>
  <c r="D53" i="15"/>
  <c r="G39" i="17"/>
  <c r="O39" i="17"/>
  <c r="O47" i="17"/>
  <c r="AE43" i="17"/>
  <c r="Z52" i="17"/>
  <c r="AG8" i="15"/>
  <c r="F38" i="15"/>
  <c r="G39" i="15"/>
  <c r="Q42" i="15"/>
  <c r="M54" i="15"/>
  <c r="O54" i="17"/>
  <c r="H55" i="17"/>
  <c r="AH44" i="17"/>
  <c r="AH52" i="17"/>
  <c r="C12" i="7"/>
  <c r="O40" i="15"/>
  <c r="M46" i="15"/>
  <c r="N47" i="15"/>
  <c r="Q49" i="15"/>
  <c r="G55" i="15"/>
  <c r="N36" i="17"/>
  <c r="J40" i="17"/>
  <c r="AI55" i="17"/>
  <c r="AA5" i="15"/>
  <c r="P41" i="15"/>
  <c r="M45" i="15"/>
  <c r="Y36" i="17"/>
  <c r="AH47" i="17"/>
  <c r="D36" i="15"/>
  <c r="F47" i="15"/>
  <c r="L53" i="15"/>
  <c r="I48" i="17"/>
  <c r="G53" i="15"/>
  <c r="K49" i="15"/>
  <c r="AE6" i="15"/>
  <c r="I36" i="15"/>
  <c r="L37" i="15"/>
  <c r="G40" i="15"/>
  <c r="G56" i="15" s="1"/>
  <c r="H41" i="15"/>
  <c r="I42" i="15"/>
  <c r="E46" i="15"/>
  <c r="K46" i="17"/>
  <c r="K54" i="17"/>
  <c r="W38" i="17"/>
  <c r="D49" i="17"/>
  <c r="K44" i="15"/>
  <c r="E54" i="15"/>
  <c r="O55" i="15"/>
  <c r="Z39" i="17"/>
  <c r="J36" i="15"/>
  <c r="AF54" i="17"/>
  <c r="L38" i="15"/>
  <c r="L39" i="15"/>
  <c r="F48" i="15"/>
  <c r="E37" i="17"/>
  <c r="M37" i="17"/>
  <c r="F38" i="17"/>
  <c r="N38" i="17"/>
  <c r="I41" i="17"/>
  <c r="Q41" i="17"/>
  <c r="J42" i="17"/>
  <c r="E45" i="17"/>
  <c r="M45" i="17"/>
  <c r="F46" i="17"/>
  <c r="N46" i="17"/>
  <c r="I49" i="17"/>
  <c r="Q49" i="17"/>
  <c r="J50" i="17"/>
  <c r="E53" i="17"/>
  <c r="M53" i="17"/>
  <c r="F54" i="17"/>
  <c r="N54" i="17"/>
  <c r="Z36" i="17"/>
  <c r="X38" i="17"/>
  <c r="AA39" i="17"/>
  <c r="AD40" i="17"/>
  <c r="E44" i="17"/>
  <c r="H45" i="17"/>
  <c r="G47" i="17"/>
  <c r="J48" i="17"/>
  <c r="F55" i="17"/>
  <c r="C30" i="7"/>
  <c r="AG36" i="17"/>
  <c r="AH39" i="17"/>
  <c r="D41" i="17"/>
  <c r="AJ42" i="17"/>
  <c r="F44" i="17"/>
  <c r="P45" i="17"/>
  <c r="N47" i="17"/>
  <c r="Q48" i="17"/>
  <c r="AB50" i="17"/>
  <c r="AE51" i="17"/>
  <c r="G55" i="17"/>
  <c r="M39" i="15"/>
  <c r="AG5" i="15"/>
  <c r="G36" i="15"/>
  <c r="O41" i="15"/>
  <c r="Q44" i="15"/>
  <c r="N49" i="15"/>
  <c r="H38" i="17"/>
  <c r="P38" i="17"/>
  <c r="I39" i="17"/>
  <c r="Q39" i="17"/>
  <c r="D42" i="17"/>
  <c r="L42" i="17"/>
  <c r="E43" i="17"/>
  <c r="M43" i="17"/>
  <c r="H46" i="17"/>
  <c r="P46" i="17"/>
  <c r="I47" i="17"/>
  <c r="Q47" i="17"/>
  <c r="D50" i="17"/>
  <c r="L50" i="17"/>
  <c r="E51" i="17"/>
  <c r="M51" i="17"/>
  <c r="H54" i="17"/>
  <c r="P54" i="17"/>
  <c r="I55" i="17"/>
  <c r="Q55" i="17"/>
  <c r="AH36" i="17"/>
  <c r="AF38" i="17"/>
  <c r="AI39" i="17"/>
  <c r="L41" i="17"/>
  <c r="J43" i="17"/>
  <c r="M44" i="17"/>
  <c r="E52" i="17"/>
  <c r="H53" i="17"/>
  <c r="N55" i="17"/>
  <c r="O52" i="15"/>
  <c r="G52" i="15"/>
  <c r="N51" i="15"/>
  <c r="F51" i="15"/>
  <c r="M50" i="15"/>
  <c r="E50" i="15"/>
  <c r="O44" i="15"/>
  <c r="G44" i="15"/>
  <c r="M42" i="15"/>
  <c r="E42" i="15"/>
  <c r="J39" i="15"/>
  <c r="C28" i="7"/>
  <c r="F47" i="17"/>
  <c r="D38" i="15"/>
  <c r="G41" i="15"/>
  <c r="O42" i="15"/>
  <c r="P43" i="15"/>
  <c r="I54" i="17"/>
  <c r="Q54" i="17"/>
  <c r="J55" i="17"/>
  <c r="E36" i="17"/>
  <c r="H37" i="17"/>
  <c r="F39" i="17"/>
  <c r="I40" i="17"/>
  <c r="M41" i="17"/>
  <c r="K43" i="17"/>
  <c r="N44" i="17"/>
  <c r="AJ50" i="17"/>
  <c r="F52" i="17"/>
  <c r="P53" i="17"/>
  <c r="O55" i="17"/>
  <c r="D39" i="15"/>
  <c r="K37" i="15"/>
  <c r="E39" i="15"/>
  <c r="N48" i="15"/>
  <c r="Q37" i="17"/>
  <c r="I45" i="17"/>
  <c r="Q45" i="17"/>
  <c r="E49" i="17"/>
  <c r="M49" i="17"/>
  <c r="I53" i="17"/>
  <c r="Q53" i="17"/>
  <c r="P37" i="17"/>
  <c r="O42" i="17"/>
  <c r="X46" i="17"/>
  <c r="AA47" i="17"/>
  <c r="AD48" i="17"/>
  <c r="J51" i="17"/>
  <c r="M52" i="17"/>
  <c r="AB42" i="17"/>
  <c r="F49" i="15"/>
  <c r="M36" i="17"/>
  <c r="N39" i="17"/>
  <c r="Q40" i="17"/>
  <c r="P42" i="17"/>
  <c r="W43" i="17"/>
  <c r="Z44" i="17"/>
  <c r="K51" i="17"/>
  <c r="N52" i="17"/>
  <c r="X54" i="17"/>
  <c r="AA55" i="17"/>
  <c r="G42" i="15"/>
  <c r="I44" i="15"/>
  <c r="L54" i="15"/>
  <c r="J44" i="17"/>
  <c r="K45" i="17"/>
  <c r="F48" i="17"/>
  <c r="N48" i="17"/>
  <c r="G49" i="17"/>
  <c r="O49" i="17"/>
  <c r="J52" i="17"/>
  <c r="K53" i="17"/>
  <c r="AF46" i="17"/>
  <c r="AI47" i="17"/>
  <c r="L49" i="17"/>
  <c r="M55" i="15"/>
  <c r="E55" i="15"/>
  <c r="K53" i="15"/>
  <c r="K52" i="15"/>
  <c r="Q51" i="15"/>
  <c r="J51" i="15"/>
  <c r="Q50" i="15"/>
  <c r="I50" i="15"/>
  <c r="O48" i="15"/>
  <c r="G48" i="15"/>
  <c r="L46" i="15"/>
  <c r="D46" i="15"/>
  <c r="K45" i="15"/>
  <c r="K56" i="15" s="1"/>
  <c r="J43" i="15"/>
  <c r="N40" i="15"/>
  <c r="F40" i="15"/>
  <c r="V56" i="15"/>
  <c r="Q56" i="15"/>
  <c r="AB8" i="15"/>
  <c r="AJ8" i="15"/>
  <c r="F39" i="15"/>
  <c r="N39" i="15"/>
  <c r="D50" i="15"/>
  <c r="L50" i="15"/>
  <c r="I51" i="15"/>
  <c r="F52" i="15"/>
  <c r="F56" i="15" s="1"/>
  <c r="N52" i="15"/>
  <c r="I39" i="15"/>
  <c r="I54" i="15"/>
  <c r="I56" i="15" s="1"/>
  <c r="AC6" i="15"/>
  <c r="E38" i="15"/>
  <c r="M38" i="15"/>
  <c r="D47" i="15"/>
  <c r="L47" i="15"/>
  <c r="H50" i="15"/>
  <c r="H56" i="15" s="1"/>
  <c r="P50" i="15"/>
  <c r="P56" i="15" s="1"/>
  <c r="E51" i="15"/>
  <c r="M51" i="15"/>
  <c r="J52" i="15"/>
  <c r="O56" i="15"/>
  <c r="F36" i="15"/>
  <c r="AB5" i="15"/>
  <c r="N36" i="15"/>
  <c r="AC37" i="17"/>
  <c r="E41" i="17"/>
  <c r="H42" i="17"/>
  <c r="AJ45" i="17"/>
  <c r="K38" i="17"/>
  <c r="H36" i="17"/>
  <c r="AA36" i="17"/>
  <c r="P36" i="17"/>
  <c r="AI36" i="17"/>
  <c r="AC38" i="17"/>
  <c r="J38" i="17"/>
  <c r="K39" i="17"/>
  <c r="AD39" i="17"/>
  <c r="D40" i="17"/>
  <c r="W40" i="17"/>
  <c r="L40" i="17"/>
  <c r="AE40" i="17"/>
  <c r="Y42" i="17"/>
  <c r="F42" i="17"/>
  <c r="AG42" i="17"/>
  <c r="N42" i="17"/>
  <c r="G43" i="17"/>
  <c r="Z43" i="17"/>
  <c r="O43" i="17"/>
  <c r="AH43" i="17"/>
  <c r="H44" i="17"/>
  <c r="AA44" i="17"/>
  <c r="P44" i="17"/>
  <c r="AI44" i="17"/>
  <c r="AC46" i="17"/>
  <c r="J46" i="17"/>
  <c r="K47" i="17"/>
  <c r="AD47" i="17"/>
  <c r="D48" i="17"/>
  <c r="W48" i="17"/>
  <c r="L48" i="17"/>
  <c r="AE48" i="17"/>
  <c r="Y50" i="17"/>
  <c r="F50" i="17"/>
  <c r="AG50" i="17"/>
  <c r="N50" i="17"/>
  <c r="G51" i="17"/>
  <c r="Z51" i="17"/>
  <c r="O51" i="17"/>
  <c r="AH51" i="17"/>
  <c r="H52" i="17"/>
  <c r="AA52" i="17"/>
  <c r="P52" i="17"/>
  <c r="AI52" i="17"/>
  <c r="AC54" i="17"/>
  <c r="J54" i="17"/>
  <c r="K55" i="17"/>
  <c r="AD55" i="17"/>
  <c r="I37" i="17"/>
  <c r="L38" i="17"/>
  <c r="Y41" i="17"/>
  <c r="I36" i="17"/>
  <c r="AB36" i="17"/>
  <c r="Q36" i="17"/>
  <c r="AJ36" i="17"/>
  <c r="D39" i="17"/>
  <c r="W39" i="17"/>
  <c r="L39" i="17"/>
  <c r="AE39" i="17"/>
  <c r="E40" i="17"/>
  <c r="X40" i="17"/>
  <c r="M40" i="17"/>
  <c r="AF40" i="17"/>
  <c r="H43" i="17"/>
  <c r="AA43" i="17"/>
  <c r="P43" i="17"/>
  <c r="AI43" i="17"/>
  <c r="I44" i="17"/>
  <c r="AB44" i="17"/>
  <c r="Q44" i="17"/>
  <c r="AJ44" i="17"/>
  <c r="J45" i="17"/>
  <c r="AC45" i="17"/>
  <c r="D46" i="17"/>
  <c r="V46" i="17"/>
  <c r="AD46" i="17"/>
  <c r="L46" i="17"/>
  <c r="D47" i="17"/>
  <c r="W47" i="17"/>
  <c r="L47" i="17"/>
  <c r="AE47" i="17"/>
  <c r="E48" i="17"/>
  <c r="X48" i="17"/>
  <c r="M48" i="17"/>
  <c r="AF48" i="17"/>
  <c r="F49" i="17"/>
  <c r="Y49" i="17"/>
  <c r="AG49" i="17"/>
  <c r="N49" i="17"/>
  <c r="H50" i="17"/>
  <c r="Z50" i="17"/>
  <c r="P50" i="17"/>
  <c r="AH50" i="17"/>
  <c r="H51" i="17"/>
  <c r="AA51" i="17"/>
  <c r="P51" i="17"/>
  <c r="AI51" i="17"/>
  <c r="I52" i="17"/>
  <c r="AB52" i="17"/>
  <c r="Q52" i="17"/>
  <c r="AJ52" i="17"/>
  <c r="J53" i="17"/>
  <c r="AC53" i="17"/>
  <c r="D54" i="17"/>
  <c r="V54" i="17"/>
  <c r="L54" i="17"/>
  <c r="AD54" i="17"/>
  <c r="D55" i="17"/>
  <c r="W55" i="17"/>
  <c r="L55" i="17"/>
  <c r="AE55" i="17"/>
  <c r="J36" i="17"/>
  <c r="K37" i="17"/>
  <c r="F40" i="17"/>
  <c r="F56" i="17" s="1"/>
  <c r="N40" i="17"/>
  <c r="G41" i="17"/>
  <c r="O41" i="17"/>
  <c r="AG41" i="17"/>
  <c r="X49" i="17"/>
  <c r="AB53" i="17"/>
  <c r="V5" i="17"/>
  <c r="G42" i="17"/>
  <c r="AB45" i="17"/>
  <c r="AF49" i="17"/>
  <c r="AJ53" i="17"/>
  <c r="D36" i="17"/>
  <c r="L36" i="17"/>
  <c r="G37" i="17"/>
  <c r="O37" i="17"/>
  <c r="E39" i="17"/>
  <c r="M39" i="17"/>
  <c r="H40" i="17"/>
  <c r="P40" i="17"/>
  <c r="K41" i="17"/>
  <c r="I43" i="17"/>
  <c r="Q43" i="17"/>
  <c r="D44" i="17"/>
  <c r="L44" i="17"/>
  <c r="G45" i="17"/>
  <c r="O45" i="17"/>
  <c r="E47" i="17"/>
  <c r="M47" i="17"/>
  <c r="H48" i="17"/>
  <c r="P48" i="17"/>
  <c r="K49" i="17"/>
  <c r="I51" i="17"/>
  <c r="Q51" i="17"/>
  <c r="D52" i="17"/>
  <c r="L52" i="17"/>
  <c r="G53" i="17"/>
  <c r="O53" i="17"/>
  <c r="E55" i="17"/>
  <c r="M55" i="17"/>
  <c r="AD37" i="17"/>
  <c r="Y38" i="17"/>
  <c r="AG38" i="17"/>
  <c r="AB39" i="17"/>
  <c r="AJ39" i="17"/>
  <c r="Z41" i="17"/>
  <c r="AH41" i="17"/>
  <c r="AC42" i="17"/>
  <c r="X43" i="17"/>
  <c r="AF43" i="17"/>
  <c r="AD45" i="17"/>
  <c r="Y46" i="17"/>
  <c r="AG46" i="17"/>
  <c r="AB47" i="17"/>
  <c r="AJ47" i="17"/>
  <c r="Z49" i="17"/>
  <c r="AH49" i="17"/>
  <c r="AC50" i="17"/>
  <c r="X51" i="17"/>
  <c r="AF51" i="17"/>
  <c r="AD53" i="17"/>
  <c r="Y54" i="17"/>
  <c r="AG54" i="17"/>
  <c r="AB55" i="17"/>
  <c r="AJ55" i="17"/>
  <c r="W37" i="17"/>
  <c r="AE37" i="17"/>
  <c r="Z38" i="17"/>
  <c r="Z5" i="17" s="1"/>
  <c r="AH38" i="17"/>
  <c r="AC39" i="17"/>
  <c r="AA41" i="17"/>
  <c r="AI41" i="17"/>
  <c r="AD42" i="17"/>
  <c r="Y43" i="17"/>
  <c r="AG43" i="17"/>
  <c r="W45" i="17"/>
  <c r="AE45" i="17"/>
  <c r="Z46" i="17"/>
  <c r="AH46" i="17"/>
  <c r="AC47" i="17"/>
  <c r="AA49" i="17"/>
  <c r="AI49" i="17"/>
  <c r="AD50" i="17"/>
  <c r="Y51" i="17"/>
  <c r="AG51" i="17"/>
  <c r="W53" i="17"/>
  <c r="AE53" i="17"/>
  <c r="Z54" i="17"/>
  <c r="AH54" i="17"/>
  <c r="AC55" i="17"/>
  <c r="AC36" i="17"/>
  <c r="X37" i="17"/>
  <c r="AF37" i="17"/>
  <c r="AF5" i="17" s="1"/>
  <c r="AA38" i="17"/>
  <c r="AI38" i="17"/>
  <c r="Y40" i="17"/>
  <c r="AG40" i="17"/>
  <c r="AB41" i="17"/>
  <c r="AJ41" i="17"/>
  <c r="W42" i="17"/>
  <c r="AE42" i="17"/>
  <c r="AC44" i="17"/>
  <c r="X45" i="17"/>
  <c r="AF45" i="17"/>
  <c r="AA46" i="17"/>
  <c r="AI46" i="17"/>
  <c r="Y48" i="17"/>
  <c r="AG48" i="17"/>
  <c r="AB49" i="17"/>
  <c r="AJ49" i="17"/>
  <c r="W50" i="17"/>
  <c r="AE50" i="17"/>
  <c r="AC52" i="17"/>
  <c r="X53" i="17"/>
  <c r="AF53" i="17"/>
  <c r="AA54" i="17"/>
  <c r="AI54" i="17"/>
  <c r="AD36" i="17"/>
  <c r="Y37" i="17"/>
  <c r="AG37" i="17"/>
  <c r="AB38" i="17"/>
  <c r="AJ38" i="17"/>
  <c r="Z40" i="17"/>
  <c r="AH40" i="17"/>
  <c r="AC41" i="17"/>
  <c r="X42" i="17"/>
  <c r="AF42" i="17"/>
  <c r="AD44" i="17"/>
  <c r="Y45" i="17"/>
  <c r="AG45" i="17"/>
  <c r="AB46" i="17"/>
  <c r="AJ46" i="17"/>
  <c r="Z48" i="17"/>
  <c r="AH48" i="17"/>
  <c r="AC49" i="17"/>
  <c r="X50" i="17"/>
  <c r="AF50" i="17"/>
  <c r="AD52" i="17"/>
  <c r="Y53" i="17"/>
  <c r="AG53" i="17"/>
  <c r="AB54" i="17"/>
  <c r="AJ54" i="17"/>
  <c r="AG5" i="17" l="1"/>
  <c r="O56" i="17"/>
  <c r="I56" i="17"/>
  <c r="J56" i="15"/>
  <c r="M56" i="15"/>
  <c r="E56" i="15"/>
  <c r="J56" i="17"/>
  <c r="D56" i="15"/>
  <c r="G56" i="17"/>
  <c r="AE5" i="17"/>
  <c r="Q56" i="17"/>
  <c r="L56" i="15"/>
  <c r="AH5" i="17"/>
  <c r="K56" i="17"/>
  <c r="Y5" i="17"/>
  <c r="W5" i="17"/>
  <c r="N56" i="15"/>
  <c r="X5" i="17"/>
  <c r="AD7" i="17"/>
  <c r="AJ5" i="17"/>
  <c r="AJ7" i="17"/>
  <c r="AB7" i="17"/>
  <c r="AC7" i="17"/>
  <c r="AG7" i="17"/>
  <c r="V7" i="17"/>
  <c r="AI7" i="17"/>
  <c r="W7" i="17"/>
  <c r="AA5" i="17"/>
  <c r="AA7" i="17"/>
  <c r="M56" i="17"/>
  <c r="AD5" i="17"/>
  <c r="X7" i="17"/>
  <c r="AB5" i="17"/>
  <c r="AF7" i="17"/>
  <c r="N56" i="17"/>
  <c r="E56" i="17"/>
  <c r="AH7" i="17"/>
  <c r="P56" i="17"/>
  <c r="AE7" i="17"/>
  <c r="AI5" i="17"/>
  <c r="D56" i="17"/>
  <c r="Y7" i="17"/>
  <c r="Z7" i="17"/>
  <c r="AC5" i="17"/>
  <c r="H56" i="17"/>
  <c r="L56" i="17"/>
  <c r="S291" i="7" l="1"/>
  <c r="O291" i="7"/>
  <c r="S290" i="7"/>
  <c r="L290" i="7"/>
  <c r="S289" i="7"/>
  <c r="L289" i="7"/>
  <c r="S288" i="7"/>
  <c r="S287" i="7"/>
  <c r="L287" i="7"/>
  <c r="S286" i="7"/>
  <c r="L286" i="7"/>
  <c r="S285" i="7"/>
  <c r="L285" i="7"/>
  <c r="S284" i="7"/>
  <c r="S283" i="7"/>
  <c r="L283" i="7"/>
  <c r="S282" i="7"/>
  <c r="O282" i="7"/>
  <c r="S281" i="7"/>
  <c r="S280" i="7"/>
  <c r="S279" i="7"/>
  <c r="L279" i="7"/>
  <c r="S278" i="7"/>
  <c r="O278" i="7"/>
  <c r="S277" i="7"/>
  <c r="S276" i="7"/>
  <c r="S275" i="7"/>
  <c r="L275" i="7"/>
  <c r="S274" i="7"/>
  <c r="L274" i="7"/>
  <c r="S273" i="7"/>
  <c r="S272" i="7"/>
  <c r="S271" i="7"/>
  <c r="O271" i="7"/>
  <c r="L271" i="7"/>
  <c r="S270" i="7"/>
  <c r="O270" i="7"/>
  <c r="S269" i="7"/>
  <c r="S268" i="7"/>
  <c r="S267" i="7"/>
  <c r="L267" i="7"/>
  <c r="S266" i="7"/>
  <c r="O266" i="7"/>
  <c r="S265" i="7"/>
  <c r="S264" i="7"/>
  <c r="S263" i="7"/>
  <c r="L263" i="7"/>
  <c r="S262" i="7"/>
  <c r="O262" i="7"/>
  <c r="S261" i="7"/>
  <c r="S260" i="7"/>
  <c r="S259" i="7"/>
  <c r="L259" i="7"/>
  <c r="S258" i="7"/>
  <c r="L258" i="7"/>
  <c r="S257" i="7"/>
  <c r="S256" i="7"/>
  <c r="S255" i="7"/>
  <c r="O255" i="7"/>
  <c r="L255" i="7"/>
  <c r="S254" i="7"/>
  <c r="O254" i="7"/>
  <c r="S253" i="7"/>
  <c r="S252" i="7"/>
  <c r="S251" i="7"/>
  <c r="L251" i="7"/>
  <c r="S250" i="7"/>
  <c r="O250" i="7"/>
  <c r="S249" i="7"/>
  <c r="S248" i="7"/>
  <c r="S247" i="7"/>
  <c r="L247" i="7"/>
  <c r="S246" i="7"/>
  <c r="O246" i="7"/>
  <c r="S245" i="7"/>
  <c r="S244" i="7"/>
  <c r="S243" i="7"/>
  <c r="L243" i="7"/>
  <c r="S242" i="7"/>
  <c r="L242" i="7"/>
  <c r="S241" i="7"/>
  <c r="S240" i="7"/>
  <c r="S239" i="7"/>
  <c r="L239" i="7"/>
  <c r="S238" i="7"/>
  <c r="O238" i="7"/>
  <c r="S237" i="7"/>
  <c r="S236" i="7"/>
  <c r="S235" i="7"/>
  <c r="L235" i="7"/>
  <c r="S234" i="7"/>
  <c r="S233" i="7"/>
  <c r="S232" i="7"/>
  <c r="S231" i="7"/>
  <c r="L231" i="7"/>
  <c r="S230" i="7"/>
  <c r="O230" i="7"/>
  <c r="S229" i="7"/>
  <c r="S228" i="7"/>
  <c r="S227" i="7"/>
  <c r="S226" i="7"/>
  <c r="L226" i="7"/>
  <c r="S225" i="7"/>
  <c r="S224" i="7"/>
  <c r="S223" i="7"/>
  <c r="L223" i="7"/>
  <c r="S222" i="7"/>
  <c r="O222" i="7"/>
  <c r="S221" i="7"/>
  <c r="S220" i="7"/>
  <c r="S219" i="7"/>
  <c r="L219" i="7"/>
  <c r="S218" i="7"/>
  <c r="S217" i="7"/>
  <c r="S216" i="7"/>
  <c r="S215" i="7"/>
  <c r="L215" i="7"/>
  <c r="S214" i="7"/>
  <c r="O214" i="7"/>
  <c r="S213" i="7"/>
  <c r="S212" i="7"/>
  <c r="S211" i="7"/>
  <c r="S210" i="7"/>
  <c r="L210" i="7"/>
  <c r="S209" i="7"/>
  <c r="S208" i="7"/>
  <c r="S207" i="7"/>
  <c r="L207" i="7"/>
  <c r="S206" i="7"/>
  <c r="O206" i="7"/>
  <c r="S205" i="7"/>
  <c r="S204" i="7"/>
  <c r="S203" i="7"/>
  <c r="L203" i="7"/>
  <c r="S202" i="7"/>
  <c r="S201" i="7"/>
  <c r="S200" i="7"/>
  <c r="S199" i="7"/>
  <c r="L199" i="7"/>
  <c r="S198" i="7"/>
  <c r="O198" i="7"/>
  <c r="S197" i="7"/>
  <c r="S196" i="7"/>
  <c r="S195" i="7"/>
  <c r="S194" i="7"/>
  <c r="L194" i="7"/>
  <c r="S193" i="7"/>
  <c r="S192" i="7"/>
  <c r="S191" i="7"/>
  <c r="L191" i="7"/>
  <c r="S190" i="7"/>
  <c r="O190" i="7"/>
  <c r="S189" i="7"/>
  <c r="S188" i="7"/>
  <c r="S187" i="7"/>
  <c r="L187" i="7"/>
  <c r="S186" i="7"/>
  <c r="S185" i="7"/>
  <c r="S184" i="7"/>
  <c r="S183" i="7"/>
  <c r="L183" i="7"/>
  <c r="S182" i="7"/>
  <c r="O182" i="7"/>
  <c r="S181" i="7"/>
  <c r="S180" i="7"/>
  <c r="S179" i="7"/>
  <c r="S178" i="7"/>
  <c r="L178" i="7"/>
  <c r="S177" i="7"/>
  <c r="S176" i="7"/>
  <c r="S175" i="7"/>
  <c r="L175" i="7"/>
  <c r="S174" i="7"/>
  <c r="O174" i="7"/>
  <c r="S173" i="7"/>
  <c r="S172" i="7"/>
  <c r="S171" i="7"/>
  <c r="L171" i="7"/>
  <c r="S170" i="7"/>
  <c r="S169" i="7"/>
  <c r="S168" i="7"/>
  <c r="S167" i="7"/>
  <c r="L167" i="7"/>
  <c r="S166" i="7"/>
  <c r="O166" i="7"/>
  <c r="S165" i="7"/>
  <c r="S164" i="7"/>
  <c r="S163" i="7"/>
  <c r="S162" i="7"/>
  <c r="L162" i="7"/>
  <c r="S161" i="7"/>
  <c r="S160" i="7"/>
  <c r="S159" i="7"/>
  <c r="L159" i="7"/>
  <c r="S158" i="7"/>
  <c r="O158" i="7"/>
  <c r="S157" i="7"/>
  <c r="S156" i="7"/>
  <c r="S155" i="7"/>
  <c r="L155" i="7"/>
  <c r="S154" i="7"/>
  <c r="S153" i="7"/>
  <c r="S152" i="7"/>
  <c r="S151" i="7"/>
  <c r="L151" i="7"/>
  <c r="S150" i="7"/>
  <c r="O150" i="7"/>
  <c r="S149" i="7"/>
  <c r="O149" i="7"/>
  <c r="L149" i="7"/>
  <c r="S148" i="7"/>
  <c r="O148" i="7"/>
  <c r="L148" i="7"/>
  <c r="S147" i="7"/>
  <c r="O147" i="7"/>
  <c r="L147" i="7"/>
  <c r="S146" i="7"/>
  <c r="L146" i="7"/>
  <c r="S145" i="7"/>
  <c r="O145" i="7"/>
  <c r="L145" i="7"/>
  <c r="S144" i="7"/>
  <c r="S143" i="7"/>
  <c r="L143" i="7"/>
  <c r="S142" i="7"/>
  <c r="S141" i="7"/>
  <c r="S140" i="7"/>
  <c r="S139" i="7"/>
  <c r="O139" i="7"/>
  <c r="L139" i="7"/>
  <c r="S138" i="7"/>
  <c r="L138" i="7"/>
  <c r="S137" i="7"/>
  <c r="S136" i="7"/>
  <c r="L136" i="7"/>
  <c r="S135" i="7"/>
  <c r="S134" i="7"/>
  <c r="S133" i="7"/>
  <c r="O133" i="7"/>
  <c r="L133" i="7"/>
  <c r="S132" i="7"/>
  <c r="O132" i="7"/>
  <c r="L132" i="7"/>
  <c r="S131" i="7"/>
  <c r="L131" i="7"/>
  <c r="S130" i="7"/>
  <c r="L130" i="7"/>
  <c r="S129" i="7"/>
  <c r="O129" i="7"/>
  <c r="S128" i="7"/>
  <c r="L128" i="7"/>
  <c r="S127" i="7"/>
  <c r="O127" i="7"/>
  <c r="L127" i="7"/>
  <c r="S126" i="7"/>
  <c r="O126" i="7"/>
  <c r="L126" i="7"/>
  <c r="S125" i="7"/>
  <c r="O125" i="7"/>
  <c r="L125" i="7"/>
  <c r="S124" i="7"/>
  <c r="O124" i="7"/>
  <c r="L124" i="7"/>
  <c r="S123" i="7"/>
  <c r="L123" i="7"/>
  <c r="S122" i="7"/>
  <c r="O122" i="7"/>
  <c r="L122" i="7"/>
  <c r="S121" i="7"/>
  <c r="L121" i="7"/>
  <c r="S120" i="7"/>
  <c r="S119" i="7"/>
  <c r="S118" i="7"/>
  <c r="L118" i="7"/>
  <c r="S117" i="7"/>
  <c r="L117" i="7"/>
  <c r="S116" i="7"/>
  <c r="S115" i="7"/>
  <c r="L115" i="7"/>
  <c r="S114" i="7"/>
  <c r="O114" i="7"/>
  <c r="S113" i="7"/>
  <c r="L113" i="7"/>
  <c r="S112" i="7"/>
  <c r="O112" i="7"/>
  <c r="L112" i="7"/>
  <c r="S111" i="7"/>
  <c r="O111" i="7"/>
  <c r="L111" i="7"/>
  <c r="S110" i="7"/>
  <c r="O110" i="7"/>
  <c r="S109" i="7"/>
  <c r="O109" i="7"/>
  <c r="L109" i="7"/>
  <c r="S108" i="7"/>
  <c r="S107" i="7"/>
  <c r="L107" i="7"/>
  <c r="S106" i="7"/>
  <c r="O106" i="7"/>
  <c r="S105" i="7"/>
  <c r="O105" i="7"/>
  <c r="L105" i="7"/>
  <c r="S104" i="7"/>
  <c r="O104" i="7"/>
  <c r="L104" i="7"/>
  <c r="S103" i="7"/>
  <c r="O103" i="7"/>
  <c r="S102" i="7"/>
  <c r="L102" i="7"/>
  <c r="S101" i="7"/>
  <c r="L101" i="7"/>
  <c r="S100" i="7"/>
  <c r="O100" i="7"/>
  <c r="L100" i="7"/>
  <c r="S99" i="7"/>
  <c r="O99" i="7"/>
  <c r="L99" i="7"/>
  <c r="S98" i="7"/>
  <c r="O98" i="7"/>
  <c r="L98" i="7"/>
  <c r="S97" i="7"/>
  <c r="O97" i="7"/>
  <c r="L97" i="7"/>
  <c r="S96" i="7"/>
  <c r="L96" i="7"/>
  <c r="S95" i="7"/>
  <c r="O95" i="7"/>
  <c r="L95" i="7"/>
  <c r="S94" i="7"/>
  <c r="L94" i="7"/>
  <c r="S93" i="7"/>
  <c r="L93" i="7"/>
  <c r="S92" i="7"/>
  <c r="O92" i="7"/>
  <c r="S91" i="7"/>
  <c r="O91" i="7"/>
  <c r="L91" i="7"/>
  <c r="S90" i="7"/>
  <c r="L90" i="7"/>
  <c r="S89" i="7"/>
  <c r="O89" i="7"/>
  <c r="S88" i="7"/>
  <c r="O88" i="7"/>
  <c r="L88" i="7"/>
  <c r="S87" i="7"/>
  <c r="O87" i="7"/>
  <c r="L87" i="7"/>
  <c r="S86" i="7"/>
  <c r="L86" i="7"/>
  <c r="S85" i="7"/>
  <c r="L85" i="7"/>
  <c r="S84" i="7"/>
  <c r="L84" i="7"/>
  <c r="S83" i="7"/>
  <c r="O83" i="7"/>
  <c r="L83" i="7"/>
  <c r="S82" i="7"/>
  <c r="L82" i="7"/>
  <c r="S81" i="7"/>
  <c r="L81" i="7"/>
  <c r="S80" i="7"/>
  <c r="O80" i="7"/>
  <c r="S79" i="7"/>
  <c r="O79" i="7"/>
  <c r="S78" i="7"/>
  <c r="O78" i="7"/>
  <c r="S77" i="7"/>
  <c r="O77" i="7"/>
  <c r="L77" i="7"/>
  <c r="S76" i="7"/>
  <c r="L76" i="7"/>
  <c r="S75" i="7"/>
  <c r="L75" i="7"/>
  <c r="S74" i="7"/>
  <c r="L74" i="7"/>
  <c r="S73" i="7"/>
  <c r="O73" i="7"/>
  <c r="S72" i="7"/>
  <c r="O72" i="7"/>
  <c r="L72" i="7"/>
  <c r="S71" i="7"/>
  <c r="O71" i="7"/>
  <c r="L71" i="7"/>
  <c r="S70" i="7"/>
  <c r="L70" i="7"/>
  <c r="S69" i="7"/>
  <c r="L69" i="7"/>
  <c r="S68" i="7"/>
  <c r="O68" i="7"/>
  <c r="L68" i="7"/>
  <c r="S67" i="7"/>
  <c r="O67" i="7"/>
  <c r="L67" i="7"/>
  <c r="S66" i="7"/>
  <c r="L66" i="7"/>
  <c r="S65" i="7"/>
  <c r="O66" i="7"/>
  <c r="L65" i="7"/>
  <c r="S64" i="7"/>
  <c r="O64" i="7"/>
  <c r="L64" i="7"/>
  <c r="S63" i="7"/>
  <c r="L63" i="7"/>
  <c r="S62" i="7"/>
  <c r="L62" i="7"/>
  <c r="S61" i="7"/>
  <c r="L61" i="7"/>
  <c r="S60" i="7"/>
  <c r="O61" i="7"/>
  <c r="S59" i="7"/>
  <c r="O59" i="7"/>
  <c r="L59" i="7"/>
  <c r="S58" i="7"/>
  <c r="L58" i="7"/>
  <c r="S57" i="7"/>
  <c r="L57" i="7"/>
  <c r="S56" i="7"/>
  <c r="L56" i="7"/>
  <c r="S55" i="7"/>
  <c r="O56" i="7"/>
  <c r="S54" i="7"/>
  <c r="L54" i="7"/>
  <c r="S53" i="7"/>
  <c r="O53" i="7"/>
  <c r="S52" i="7"/>
  <c r="O52" i="7"/>
  <c r="L52" i="7"/>
  <c r="S51" i="7"/>
  <c r="L51" i="7"/>
  <c r="S50" i="7"/>
  <c r="O50" i="7"/>
  <c r="L50" i="7"/>
  <c r="S49" i="7"/>
  <c r="L49" i="7"/>
  <c r="S48" i="7"/>
  <c r="O49" i="7"/>
  <c r="S47" i="7"/>
  <c r="O47" i="7"/>
  <c r="L47" i="7"/>
  <c r="S46" i="7"/>
  <c r="O46" i="7"/>
  <c r="S45" i="7"/>
  <c r="O45" i="7"/>
  <c r="L45" i="7"/>
  <c r="S44" i="7"/>
  <c r="L44" i="7"/>
  <c r="S43" i="7"/>
  <c r="O43" i="7"/>
  <c r="L43" i="7"/>
  <c r="S42" i="7"/>
  <c r="L42" i="7"/>
  <c r="S41" i="7"/>
  <c r="O42" i="7"/>
  <c r="S40" i="7"/>
  <c r="O40" i="7"/>
  <c r="L40" i="7"/>
  <c r="S39" i="7"/>
  <c r="O39" i="7"/>
  <c r="S38" i="7"/>
  <c r="O38" i="7"/>
  <c r="L38" i="7"/>
  <c r="S37" i="7"/>
  <c r="L37" i="7"/>
  <c r="S36" i="7"/>
  <c r="L36" i="7"/>
  <c r="S35" i="7"/>
  <c r="L35" i="7"/>
  <c r="N31" i="7"/>
  <c r="N30" i="7"/>
  <c r="N29" i="7"/>
  <c r="N28" i="7"/>
  <c r="N27" i="7"/>
  <c r="N26" i="7"/>
  <c r="N25" i="7"/>
  <c r="N24" i="7"/>
  <c r="N23" i="7"/>
  <c r="N22" i="7"/>
  <c r="N21" i="7"/>
  <c r="N20" i="7"/>
  <c r="N19" i="7"/>
  <c r="N18" i="7"/>
  <c r="N17" i="7"/>
  <c r="N16" i="7"/>
  <c r="N15" i="7"/>
  <c r="N14" i="7"/>
  <c r="N13" i="7"/>
  <c r="N12" i="7"/>
  <c r="N9" i="7"/>
  <c r="W5" i="3"/>
  <c r="X5" i="3"/>
  <c r="Y5" i="3"/>
  <c r="Z5" i="3"/>
  <c r="AA5" i="3"/>
  <c r="AB5" i="3"/>
  <c r="AC5" i="3"/>
  <c r="AD5" i="3"/>
  <c r="AE5" i="3"/>
  <c r="AF5" i="3"/>
  <c r="AG5" i="3"/>
  <c r="AH5" i="3"/>
  <c r="AI5" i="3"/>
  <c r="AJ5" i="3"/>
  <c r="V5" i="3"/>
  <c r="W6" i="3"/>
  <c r="X6" i="3"/>
  <c r="Y6" i="3"/>
  <c r="Z6" i="3"/>
  <c r="AA6" i="3"/>
  <c r="AB6" i="3"/>
  <c r="AC6" i="3"/>
  <c r="AD6" i="3"/>
  <c r="AE6" i="3"/>
  <c r="AF6" i="3"/>
  <c r="AG6" i="3"/>
  <c r="AH6" i="3"/>
  <c r="AI6" i="3"/>
  <c r="AJ6" i="3"/>
  <c r="V6" i="3"/>
  <c r="W7" i="3"/>
  <c r="X7" i="3"/>
  <c r="Y7" i="3"/>
  <c r="Z7" i="3"/>
  <c r="AA7" i="3"/>
  <c r="AB7" i="3"/>
  <c r="AC7" i="3"/>
  <c r="AD7" i="3"/>
  <c r="AE7" i="3"/>
  <c r="AF7" i="3"/>
  <c r="AG7" i="3"/>
  <c r="AH7" i="3"/>
  <c r="AI7" i="3"/>
  <c r="AJ7" i="3"/>
  <c r="V7" i="3"/>
  <c r="W8" i="3"/>
  <c r="X8" i="3"/>
  <c r="Y8" i="3"/>
  <c r="Z8" i="3"/>
  <c r="AA8" i="3"/>
  <c r="AB8" i="3"/>
  <c r="AC8" i="3"/>
  <c r="AD8" i="3"/>
  <c r="AE8" i="3"/>
  <c r="AF8" i="3"/>
  <c r="AG8" i="3"/>
  <c r="AH8" i="3"/>
  <c r="AI8" i="3"/>
  <c r="AJ8" i="3"/>
  <c r="V8" i="3"/>
  <c r="AI55" i="3"/>
  <c r="AH55" i="3"/>
  <c r="AG55" i="3"/>
  <c r="AF55" i="3"/>
  <c r="AE55" i="3"/>
  <c r="AD55" i="3"/>
  <c r="AC55" i="3"/>
  <c r="AB55" i="3"/>
  <c r="AA55" i="3"/>
  <c r="Z55" i="3"/>
  <c r="Y55" i="3"/>
  <c r="X55" i="3"/>
  <c r="W55" i="3"/>
  <c r="V55" i="3"/>
  <c r="Q55" i="3"/>
  <c r="P55" i="3"/>
  <c r="O55" i="3"/>
  <c r="N55" i="3"/>
  <c r="M55" i="3"/>
  <c r="L55" i="3"/>
  <c r="K55" i="3"/>
  <c r="J55" i="3"/>
  <c r="I55" i="3"/>
  <c r="H55" i="3"/>
  <c r="G55" i="3"/>
  <c r="F55" i="3"/>
  <c r="E55" i="3"/>
  <c r="D55" i="3"/>
  <c r="AI54" i="3"/>
  <c r="AH54" i="3"/>
  <c r="AG54" i="3"/>
  <c r="AF54" i="3"/>
  <c r="AE54" i="3"/>
  <c r="AD54" i="3"/>
  <c r="AC54" i="3"/>
  <c r="AB54" i="3"/>
  <c r="AA54" i="3"/>
  <c r="Z54" i="3"/>
  <c r="Y54" i="3"/>
  <c r="X54" i="3"/>
  <c r="W54" i="3"/>
  <c r="V54" i="3"/>
  <c r="Q54" i="3"/>
  <c r="P54" i="3"/>
  <c r="O54" i="3"/>
  <c r="N54" i="3"/>
  <c r="M54" i="3"/>
  <c r="L54" i="3"/>
  <c r="K54" i="3"/>
  <c r="J54" i="3"/>
  <c r="I54" i="3"/>
  <c r="H54" i="3"/>
  <c r="G54" i="3"/>
  <c r="F54" i="3"/>
  <c r="E54" i="3"/>
  <c r="D54" i="3"/>
  <c r="AI53" i="3"/>
  <c r="AH53" i="3"/>
  <c r="AG53" i="3"/>
  <c r="AF53" i="3"/>
  <c r="AE53" i="3"/>
  <c r="AD53" i="3"/>
  <c r="AC53" i="3"/>
  <c r="AB53" i="3"/>
  <c r="AA53" i="3"/>
  <c r="Z53" i="3"/>
  <c r="Y53" i="3"/>
  <c r="X53" i="3"/>
  <c r="W53" i="3"/>
  <c r="V53" i="3"/>
  <c r="Q53" i="3"/>
  <c r="P53" i="3"/>
  <c r="O53" i="3"/>
  <c r="N53" i="3"/>
  <c r="M53" i="3"/>
  <c r="L53" i="3"/>
  <c r="K53" i="3"/>
  <c r="J53" i="3"/>
  <c r="I53" i="3"/>
  <c r="H53" i="3"/>
  <c r="G53" i="3"/>
  <c r="F53" i="3"/>
  <c r="E53" i="3"/>
  <c r="D53" i="3"/>
  <c r="AI52" i="3"/>
  <c r="AH52" i="3"/>
  <c r="AG52" i="3"/>
  <c r="AF52" i="3"/>
  <c r="AE52" i="3"/>
  <c r="AD52" i="3"/>
  <c r="AC52" i="3"/>
  <c r="AB52" i="3"/>
  <c r="AA52" i="3"/>
  <c r="Z52" i="3"/>
  <c r="Y52" i="3"/>
  <c r="X52" i="3"/>
  <c r="W52" i="3"/>
  <c r="V52" i="3"/>
  <c r="Q52" i="3"/>
  <c r="P52" i="3"/>
  <c r="O52" i="3"/>
  <c r="N52" i="3"/>
  <c r="M52" i="3"/>
  <c r="L52" i="3"/>
  <c r="K52" i="3"/>
  <c r="J52" i="3"/>
  <c r="I52" i="3"/>
  <c r="H52" i="3"/>
  <c r="G52" i="3"/>
  <c r="F52" i="3"/>
  <c r="E52" i="3"/>
  <c r="D52" i="3"/>
  <c r="AI51" i="3"/>
  <c r="AH51" i="3"/>
  <c r="AG51" i="3"/>
  <c r="AF51" i="3"/>
  <c r="AE51" i="3"/>
  <c r="AD51" i="3"/>
  <c r="AC51" i="3"/>
  <c r="AB51" i="3"/>
  <c r="AA51" i="3"/>
  <c r="Z51" i="3"/>
  <c r="Y51" i="3"/>
  <c r="X51" i="3"/>
  <c r="W51" i="3"/>
  <c r="V51" i="3"/>
  <c r="Q51" i="3"/>
  <c r="P51" i="3"/>
  <c r="O51" i="3"/>
  <c r="N51" i="3"/>
  <c r="M51" i="3"/>
  <c r="L51" i="3"/>
  <c r="K51" i="3"/>
  <c r="J51" i="3"/>
  <c r="I51" i="3"/>
  <c r="H51" i="3"/>
  <c r="G51" i="3"/>
  <c r="F51" i="3"/>
  <c r="E51" i="3"/>
  <c r="D51" i="3"/>
  <c r="AI50" i="3"/>
  <c r="AH50" i="3"/>
  <c r="AG50" i="3"/>
  <c r="AF50" i="3"/>
  <c r="AE50" i="3"/>
  <c r="AD50" i="3"/>
  <c r="AC50" i="3"/>
  <c r="AB50" i="3"/>
  <c r="AA50" i="3"/>
  <c r="Z50" i="3"/>
  <c r="Y50" i="3"/>
  <c r="X50" i="3"/>
  <c r="W50" i="3"/>
  <c r="V50" i="3"/>
  <c r="Q50" i="3"/>
  <c r="P50" i="3"/>
  <c r="O50" i="3"/>
  <c r="N50" i="3"/>
  <c r="M50" i="3"/>
  <c r="L50" i="3"/>
  <c r="K50" i="3"/>
  <c r="J50" i="3"/>
  <c r="I50" i="3"/>
  <c r="H50" i="3"/>
  <c r="G50" i="3"/>
  <c r="F50" i="3"/>
  <c r="E50" i="3"/>
  <c r="D50" i="3"/>
  <c r="AI49" i="3"/>
  <c r="AH49" i="3"/>
  <c r="AG49" i="3"/>
  <c r="AF49" i="3"/>
  <c r="AE49" i="3"/>
  <c r="AD49" i="3"/>
  <c r="AC49" i="3"/>
  <c r="AB49" i="3"/>
  <c r="AA49" i="3"/>
  <c r="Z49" i="3"/>
  <c r="Y49" i="3"/>
  <c r="X49" i="3"/>
  <c r="W49" i="3"/>
  <c r="V49" i="3"/>
  <c r="Q49" i="3"/>
  <c r="P49" i="3"/>
  <c r="O49" i="3"/>
  <c r="N49" i="3"/>
  <c r="M49" i="3"/>
  <c r="L49" i="3"/>
  <c r="K49" i="3"/>
  <c r="J49" i="3"/>
  <c r="I49" i="3"/>
  <c r="H49" i="3"/>
  <c r="G49" i="3"/>
  <c r="F49" i="3"/>
  <c r="E49" i="3"/>
  <c r="D49" i="3"/>
  <c r="AI48" i="3"/>
  <c r="AH48" i="3"/>
  <c r="AG48" i="3"/>
  <c r="AF48" i="3"/>
  <c r="AE48" i="3"/>
  <c r="AD48" i="3"/>
  <c r="AC48" i="3"/>
  <c r="AB48" i="3"/>
  <c r="AA48" i="3"/>
  <c r="Z48" i="3"/>
  <c r="Y48" i="3"/>
  <c r="X48" i="3"/>
  <c r="W48" i="3"/>
  <c r="V48" i="3"/>
  <c r="Q48" i="3"/>
  <c r="P48" i="3"/>
  <c r="O48" i="3"/>
  <c r="N48" i="3"/>
  <c r="M48" i="3"/>
  <c r="L48" i="3"/>
  <c r="K48" i="3"/>
  <c r="J48" i="3"/>
  <c r="I48" i="3"/>
  <c r="H48" i="3"/>
  <c r="G48" i="3"/>
  <c r="F48" i="3"/>
  <c r="E48" i="3"/>
  <c r="D48" i="3"/>
  <c r="AI47" i="3"/>
  <c r="AH47" i="3"/>
  <c r="AG47" i="3"/>
  <c r="AF47" i="3"/>
  <c r="AE47" i="3"/>
  <c r="AD47" i="3"/>
  <c r="AC47" i="3"/>
  <c r="AB47" i="3"/>
  <c r="AA47" i="3"/>
  <c r="Z47" i="3"/>
  <c r="Y47" i="3"/>
  <c r="X47" i="3"/>
  <c r="W47" i="3"/>
  <c r="V47" i="3"/>
  <c r="Q47" i="3"/>
  <c r="P47" i="3"/>
  <c r="O47" i="3"/>
  <c r="N47" i="3"/>
  <c r="M47" i="3"/>
  <c r="L47" i="3"/>
  <c r="K47" i="3"/>
  <c r="J47" i="3"/>
  <c r="I47" i="3"/>
  <c r="H47" i="3"/>
  <c r="G47" i="3"/>
  <c r="F47" i="3"/>
  <c r="E47" i="3"/>
  <c r="D47" i="3"/>
  <c r="AI46" i="3"/>
  <c r="AH46" i="3"/>
  <c r="AG46" i="3"/>
  <c r="AF46" i="3"/>
  <c r="AE46" i="3"/>
  <c r="AD46" i="3"/>
  <c r="AC46" i="3"/>
  <c r="AB46" i="3"/>
  <c r="AA46" i="3"/>
  <c r="Z46" i="3"/>
  <c r="Y46" i="3"/>
  <c r="X46" i="3"/>
  <c r="W46" i="3"/>
  <c r="V46" i="3"/>
  <c r="Q46" i="3"/>
  <c r="P46" i="3"/>
  <c r="O46" i="3"/>
  <c r="N46" i="3"/>
  <c r="M46" i="3"/>
  <c r="L46" i="3"/>
  <c r="K46" i="3"/>
  <c r="J46" i="3"/>
  <c r="I46" i="3"/>
  <c r="H46" i="3"/>
  <c r="G46" i="3"/>
  <c r="F46" i="3"/>
  <c r="E46" i="3"/>
  <c r="D46" i="3"/>
  <c r="AI45" i="3"/>
  <c r="AH45" i="3"/>
  <c r="AG45" i="3"/>
  <c r="AF45" i="3"/>
  <c r="AE45" i="3"/>
  <c r="AD45" i="3"/>
  <c r="AC45" i="3"/>
  <c r="AB45" i="3"/>
  <c r="AA45" i="3"/>
  <c r="Z45" i="3"/>
  <c r="Y45" i="3"/>
  <c r="X45" i="3"/>
  <c r="W45" i="3"/>
  <c r="V45" i="3"/>
  <c r="Q45" i="3"/>
  <c r="P45" i="3"/>
  <c r="O45" i="3"/>
  <c r="N45" i="3"/>
  <c r="M45" i="3"/>
  <c r="L45" i="3"/>
  <c r="K45" i="3"/>
  <c r="J45" i="3"/>
  <c r="I45" i="3"/>
  <c r="H45" i="3"/>
  <c r="G45" i="3"/>
  <c r="F45" i="3"/>
  <c r="E45" i="3"/>
  <c r="D45" i="3"/>
  <c r="AI44" i="3"/>
  <c r="AH44" i="3"/>
  <c r="AG44" i="3"/>
  <c r="AF44" i="3"/>
  <c r="AE44" i="3"/>
  <c r="AD44" i="3"/>
  <c r="AC44" i="3"/>
  <c r="AB44" i="3"/>
  <c r="AA44" i="3"/>
  <c r="Z44" i="3"/>
  <c r="Y44" i="3"/>
  <c r="X44" i="3"/>
  <c r="W44" i="3"/>
  <c r="V44" i="3"/>
  <c r="Q44" i="3"/>
  <c r="P44" i="3"/>
  <c r="O44" i="3"/>
  <c r="N44" i="3"/>
  <c r="M44" i="3"/>
  <c r="L44" i="3"/>
  <c r="K44" i="3"/>
  <c r="J44" i="3"/>
  <c r="I44" i="3"/>
  <c r="H44" i="3"/>
  <c r="G44" i="3"/>
  <c r="F44" i="3"/>
  <c r="E44" i="3"/>
  <c r="D44" i="3"/>
  <c r="AI43" i="3"/>
  <c r="AH43" i="3"/>
  <c r="AG43" i="3"/>
  <c r="AF43" i="3"/>
  <c r="AE43" i="3"/>
  <c r="AD43" i="3"/>
  <c r="AC43" i="3"/>
  <c r="AB43" i="3"/>
  <c r="AA43" i="3"/>
  <c r="Z43" i="3"/>
  <c r="Y43" i="3"/>
  <c r="X43" i="3"/>
  <c r="W43" i="3"/>
  <c r="V43" i="3"/>
  <c r="Q43" i="3"/>
  <c r="P43" i="3"/>
  <c r="O43" i="3"/>
  <c r="N43" i="3"/>
  <c r="M43" i="3"/>
  <c r="L43" i="3"/>
  <c r="K43" i="3"/>
  <c r="J43" i="3"/>
  <c r="I43" i="3"/>
  <c r="H43" i="3"/>
  <c r="G43" i="3"/>
  <c r="F43" i="3"/>
  <c r="E43" i="3"/>
  <c r="D43" i="3"/>
  <c r="AI42" i="3"/>
  <c r="AH42" i="3"/>
  <c r="AG42" i="3"/>
  <c r="AF42" i="3"/>
  <c r="AE42" i="3"/>
  <c r="AD42" i="3"/>
  <c r="AC42" i="3"/>
  <c r="AB42" i="3"/>
  <c r="AA42" i="3"/>
  <c r="Z42" i="3"/>
  <c r="Y42" i="3"/>
  <c r="X42" i="3"/>
  <c r="W42" i="3"/>
  <c r="V42" i="3"/>
  <c r="Q42" i="3"/>
  <c r="P42" i="3"/>
  <c r="O42" i="3"/>
  <c r="N42" i="3"/>
  <c r="M42" i="3"/>
  <c r="L42" i="3"/>
  <c r="K42" i="3"/>
  <c r="J42" i="3"/>
  <c r="I42" i="3"/>
  <c r="H42" i="3"/>
  <c r="G42" i="3"/>
  <c r="F42" i="3"/>
  <c r="E42" i="3"/>
  <c r="D42" i="3"/>
  <c r="AI41" i="3"/>
  <c r="AH41" i="3"/>
  <c r="AG41" i="3"/>
  <c r="AF41" i="3"/>
  <c r="AE41" i="3"/>
  <c r="AD41" i="3"/>
  <c r="AC41" i="3"/>
  <c r="AB41" i="3"/>
  <c r="AA41" i="3"/>
  <c r="Z41" i="3"/>
  <c r="Y41" i="3"/>
  <c r="X41" i="3"/>
  <c r="W41" i="3"/>
  <c r="V41" i="3"/>
  <c r="Q41" i="3"/>
  <c r="P41" i="3"/>
  <c r="O41" i="3"/>
  <c r="N41" i="3"/>
  <c r="M41" i="3"/>
  <c r="L41" i="3"/>
  <c r="K41" i="3"/>
  <c r="J41" i="3"/>
  <c r="I41" i="3"/>
  <c r="H41" i="3"/>
  <c r="G41" i="3"/>
  <c r="F41" i="3"/>
  <c r="E41" i="3"/>
  <c r="D41" i="3"/>
  <c r="AI40" i="3"/>
  <c r="AH40" i="3"/>
  <c r="AG40" i="3"/>
  <c r="AF40" i="3"/>
  <c r="AE40" i="3"/>
  <c r="AD40" i="3"/>
  <c r="AC40" i="3"/>
  <c r="AB40" i="3"/>
  <c r="AA40" i="3"/>
  <c r="Z40" i="3"/>
  <c r="Y40" i="3"/>
  <c r="X40" i="3"/>
  <c r="W40" i="3"/>
  <c r="V40" i="3"/>
  <c r="Q40" i="3"/>
  <c r="P40" i="3"/>
  <c r="O40" i="3"/>
  <c r="N40" i="3"/>
  <c r="M40" i="3"/>
  <c r="L40" i="3"/>
  <c r="K40" i="3"/>
  <c r="J40" i="3"/>
  <c r="I40" i="3"/>
  <c r="H40" i="3"/>
  <c r="G40" i="3"/>
  <c r="F40" i="3"/>
  <c r="E40" i="3"/>
  <c r="D40" i="3"/>
  <c r="AI39" i="3"/>
  <c r="AH39" i="3"/>
  <c r="AG39" i="3"/>
  <c r="AF39" i="3"/>
  <c r="AE39" i="3"/>
  <c r="AD39" i="3"/>
  <c r="AC39" i="3"/>
  <c r="AB39" i="3"/>
  <c r="AA39" i="3"/>
  <c r="Z39" i="3"/>
  <c r="Y39" i="3"/>
  <c r="X39" i="3"/>
  <c r="W39" i="3"/>
  <c r="V39" i="3"/>
  <c r="Q39" i="3"/>
  <c r="P39" i="3"/>
  <c r="O39" i="3"/>
  <c r="N39" i="3"/>
  <c r="M39" i="3"/>
  <c r="L39" i="3"/>
  <c r="K39" i="3"/>
  <c r="J39" i="3"/>
  <c r="I39" i="3"/>
  <c r="H39" i="3"/>
  <c r="G39" i="3"/>
  <c r="F39" i="3"/>
  <c r="E39" i="3"/>
  <c r="D39" i="3"/>
  <c r="AI38" i="3"/>
  <c r="AH38" i="3"/>
  <c r="AG38" i="3"/>
  <c r="AF38" i="3"/>
  <c r="AE38" i="3"/>
  <c r="AD38" i="3"/>
  <c r="AC38" i="3"/>
  <c r="AB38" i="3"/>
  <c r="AA38" i="3"/>
  <c r="Z38" i="3"/>
  <c r="Y38" i="3"/>
  <c r="X38" i="3"/>
  <c r="W38" i="3"/>
  <c r="V38" i="3"/>
  <c r="Q38" i="3"/>
  <c r="P38" i="3"/>
  <c r="O38" i="3"/>
  <c r="N38" i="3"/>
  <c r="M38" i="3"/>
  <c r="L38" i="3"/>
  <c r="K38" i="3"/>
  <c r="J38" i="3"/>
  <c r="I38" i="3"/>
  <c r="H38" i="3"/>
  <c r="G38" i="3"/>
  <c r="F38" i="3"/>
  <c r="E38" i="3"/>
  <c r="D38" i="3"/>
  <c r="AI37" i="3"/>
  <c r="AH37" i="3"/>
  <c r="AG37" i="3"/>
  <c r="AF37" i="3"/>
  <c r="AE37" i="3"/>
  <c r="AD37" i="3"/>
  <c r="AC37" i="3"/>
  <c r="AB37" i="3"/>
  <c r="AA37" i="3"/>
  <c r="Z37" i="3"/>
  <c r="Y37" i="3"/>
  <c r="X37" i="3"/>
  <c r="W37" i="3"/>
  <c r="V37" i="3"/>
  <c r="Q37" i="3"/>
  <c r="P37" i="3"/>
  <c r="O37" i="3"/>
  <c r="N37" i="3"/>
  <c r="M37" i="3"/>
  <c r="L37" i="3"/>
  <c r="K37" i="3"/>
  <c r="J37" i="3"/>
  <c r="I37" i="3"/>
  <c r="H37" i="3"/>
  <c r="G37" i="3"/>
  <c r="F37" i="3"/>
  <c r="E37" i="3"/>
  <c r="D37" i="3"/>
  <c r="AI36" i="3"/>
  <c r="AH36" i="3"/>
  <c r="AG36" i="3"/>
  <c r="AF36" i="3"/>
  <c r="AE36" i="3"/>
  <c r="AD36" i="3"/>
  <c r="AC36" i="3"/>
  <c r="AB36" i="3"/>
  <c r="AA36" i="3"/>
  <c r="Z36" i="3"/>
  <c r="Y36" i="3"/>
  <c r="X36" i="3"/>
  <c r="W36" i="3"/>
  <c r="V36" i="3"/>
  <c r="Q36" i="3"/>
  <c r="P36" i="3"/>
  <c r="O36" i="3"/>
  <c r="N36" i="3"/>
  <c r="M36" i="3"/>
  <c r="L36" i="3"/>
  <c r="K36" i="3"/>
  <c r="J36" i="3"/>
  <c r="I36" i="3"/>
  <c r="H36" i="3"/>
  <c r="G36" i="3"/>
  <c r="F36" i="3"/>
  <c r="E36" i="3"/>
  <c r="D36" i="3"/>
  <c r="N8" i="7" l="1"/>
  <c r="K56" i="3"/>
  <c r="Q56" i="3"/>
  <c r="I56" i="3"/>
  <c r="AE56" i="3"/>
  <c r="O56" i="3"/>
  <c r="G56" i="3"/>
  <c r="M56" i="3"/>
  <c r="E56" i="3"/>
  <c r="Y56" i="3"/>
  <c r="H56" i="3"/>
  <c r="P56" i="3"/>
  <c r="N7" i="7"/>
  <c r="N6" i="7"/>
  <c r="L179" i="7"/>
  <c r="O179" i="7"/>
  <c r="O36" i="7"/>
  <c r="O54" i="7"/>
  <c r="O57" i="7"/>
  <c r="O62" i="7"/>
  <c r="O69" i="7"/>
  <c r="O82" i="7"/>
  <c r="O85" i="7"/>
  <c r="O94" i="7"/>
  <c r="L211" i="7"/>
  <c r="O211" i="7"/>
  <c r="O37" i="7"/>
  <c r="L39" i="7"/>
  <c r="O44" i="7"/>
  <c r="L46" i="7"/>
  <c r="O51" i="7"/>
  <c r="L53" i="7"/>
  <c r="O58" i="7"/>
  <c r="O63" i="7"/>
  <c r="O70" i="7"/>
  <c r="O76" i="7"/>
  <c r="L78" i="7"/>
  <c r="O96" i="7"/>
  <c r="O101" i="7"/>
  <c r="L103" i="7"/>
  <c r="L114" i="7"/>
  <c r="O116" i="7"/>
  <c r="L116" i="7"/>
  <c r="L137" i="7"/>
  <c r="O138" i="7"/>
  <c r="O137" i="7"/>
  <c r="L73" i="7"/>
  <c r="O84" i="7"/>
  <c r="L89" i="7"/>
  <c r="O90" i="7"/>
  <c r="L92" i="7"/>
  <c r="O93" i="7"/>
  <c r="O131" i="7"/>
  <c r="O130" i="7"/>
  <c r="L140" i="7"/>
  <c r="O140" i="7"/>
  <c r="O154" i="7"/>
  <c r="L154" i="7"/>
  <c r="O186" i="7"/>
  <c r="L186" i="7"/>
  <c r="O218" i="7"/>
  <c r="L218" i="7"/>
  <c r="L134" i="7"/>
  <c r="O134" i="7"/>
  <c r="L41" i="7"/>
  <c r="L48" i="7"/>
  <c r="L55" i="7"/>
  <c r="L60" i="7"/>
  <c r="O74" i="7"/>
  <c r="L80" i="7"/>
  <c r="O81" i="7"/>
  <c r="O107" i="7"/>
  <c r="O119" i="7"/>
  <c r="L119" i="7"/>
  <c r="L163" i="7"/>
  <c r="O163" i="7"/>
  <c r="L195" i="7"/>
  <c r="O195" i="7"/>
  <c r="L227" i="7"/>
  <c r="O227" i="7"/>
  <c r="O75" i="7"/>
  <c r="O118" i="7"/>
  <c r="O117" i="7"/>
  <c r="O141" i="7"/>
  <c r="O144" i="7"/>
  <c r="L144" i="7"/>
  <c r="O41" i="7"/>
  <c r="O48" i="7"/>
  <c r="O55" i="7"/>
  <c r="O60" i="7"/>
  <c r="O65" i="7"/>
  <c r="O86" i="7"/>
  <c r="O102" i="7"/>
  <c r="O121" i="7"/>
  <c r="L120" i="7"/>
  <c r="O128" i="7"/>
  <c r="L79" i="7"/>
  <c r="L106" i="7"/>
  <c r="O108" i="7"/>
  <c r="L108" i="7"/>
  <c r="O115" i="7"/>
  <c r="O120" i="7"/>
  <c r="L142" i="7"/>
  <c r="O142" i="7"/>
  <c r="O170" i="7"/>
  <c r="L170" i="7"/>
  <c r="O202" i="7"/>
  <c r="L202" i="7"/>
  <c r="O234" i="7"/>
  <c r="L234" i="7"/>
  <c r="O123" i="7"/>
  <c r="O156" i="7"/>
  <c r="L156" i="7"/>
  <c r="L158" i="7"/>
  <c r="L165" i="7"/>
  <c r="O165" i="7"/>
  <c r="O172" i="7"/>
  <c r="L172" i="7"/>
  <c r="L174" i="7"/>
  <c r="L181" i="7"/>
  <c r="O181" i="7"/>
  <c r="O188" i="7"/>
  <c r="L188" i="7"/>
  <c r="L190" i="7"/>
  <c r="L197" i="7"/>
  <c r="O197" i="7"/>
  <c r="O204" i="7"/>
  <c r="L204" i="7"/>
  <c r="L206" i="7"/>
  <c r="L213" i="7"/>
  <c r="O213" i="7"/>
  <c r="O220" i="7"/>
  <c r="L220" i="7"/>
  <c r="L222" i="7"/>
  <c r="L229" i="7"/>
  <c r="O229" i="7"/>
  <c r="O236" i="7"/>
  <c r="L236" i="7"/>
  <c r="L238" i="7"/>
  <c r="O243" i="7"/>
  <c r="L245" i="7"/>
  <c r="O245" i="7"/>
  <c r="O252" i="7"/>
  <c r="L252" i="7"/>
  <c r="L254" i="7"/>
  <c r="O259" i="7"/>
  <c r="L261" i="7"/>
  <c r="O261" i="7"/>
  <c r="O268" i="7"/>
  <c r="L268" i="7"/>
  <c r="L270" i="7"/>
  <c r="O275" i="7"/>
  <c r="L277" i="7"/>
  <c r="O277" i="7"/>
  <c r="O287" i="7"/>
  <c r="L110" i="7"/>
  <c r="L129" i="7"/>
  <c r="L141" i="7"/>
  <c r="O151" i="7"/>
  <c r="L153" i="7"/>
  <c r="O153" i="7"/>
  <c r="O160" i="7"/>
  <c r="L160" i="7"/>
  <c r="O167" i="7"/>
  <c r="L169" i="7"/>
  <c r="O169" i="7"/>
  <c r="O176" i="7"/>
  <c r="L176" i="7"/>
  <c r="O183" i="7"/>
  <c r="L185" i="7"/>
  <c r="O185" i="7"/>
  <c r="O192" i="7"/>
  <c r="L192" i="7"/>
  <c r="O199" i="7"/>
  <c r="L201" i="7"/>
  <c r="O201" i="7"/>
  <c r="O208" i="7"/>
  <c r="L208" i="7"/>
  <c r="O215" i="7"/>
  <c r="L217" i="7"/>
  <c r="O217" i="7"/>
  <c r="O224" i="7"/>
  <c r="L224" i="7"/>
  <c r="O231" i="7"/>
  <c r="L233" i="7"/>
  <c r="O233" i="7"/>
  <c r="O240" i="7"/>
  <c r="L240" i="7"/>
  <c r="O247" i="7"/>
  <c r="L249" i="7"/>
  <c r="O249" i="7"/>
  <c r="O256" i="7"/>
  <c r="L256" i="7"/>
  <c r="O263" i="7"/>
  <c r="L265" i="7"/>
  <c r="O265" i="7"/>
  <c r="O272" i="7"/>
  <c r="L272" i="7"/>
  <c r="O279" i="7"/>
  <c r="L281" i="7"/>
  <c r="O281" i="7"/>
  <c r="O113" i="7"/>
  <c r="O136" i="7"/>
  <c r="O162" i="7"/>
  <c r="O178" i="7"/>
  <c r="O194" i="7"/>
  <c r="O210" i="7"/>
  <c r="O226" i="7"/>
  <c r="O242" i="7"/>
  <c r="O258" i="7"/>
  <c r="O274" i="7"/>
  <c r="O143" i="7"/>
  <c r="O146" i="7"/>
  <c r="L150" i="7"/>
  <c r="O155" i="7"/>
  <c r="L157" i="7"/>
  <c r="O157" i="7"/>
  <c r="O164" i="7"/>
  <c r="L164" i="7"/>
  <c r="L166" i="7"/>
  <c r="O171" i="7"/>
  <c r="L173" i="7"/>
  <c r="O173" i="7"/>
  <c r="O180" i="7"/>
  <c r="L180" i="7"/>
  <c r="L182" i="7"/>
  <c r="O187" i="7"/>
  <c r="L189" i="7"/>
  <c r="O189" i="7"/>
  <c r="O196" i="7"/>
  <c r="L196" i="7"/>
  <c r="L198" i="7"/>
  <c r="O203" i="7"/>
  <c r="L205" i="7"/>
  <c r="O205" i="7"/>
  <c r="O212" i="7"/>
  <c r="L212" i="7"/>
  <c r="L214" i="7"/>
  <c r="O219" i="7"/>
  <c r="L221" i="7"/>
  <c r="O221" i="7"/>
  <c r="O228" i="7"/>
  <c r="L228" i="7"/>
  <c r="L230" i="7"/>
  <c r="O235" i="7"/>
  <c r="L237" i="7"/>
  <c r="O237" i="7"/>
  <c r="O244" i="7"/>
  <c r="L244" i="7"/>
  <c r="L246" i="7"/>
  <c r="O251" i="7"/>
  <c r="L253" i="7"/>
  <c r="O253" i="7"/>
  <c r="O260" i="7"/>
  <c r="L260" i="7"/>
  <c r="L262" i="7"/>
  <c r="O267" i="7"/>
  <c r="L269" i="7"/>
  <c r="O269" i="7"/>
  <c r="O276" i="7"/>
  <c r="L276" i="7"/>
  <c r="L278" i="7"/>
  <c r="O283" i="7"/>
  <c r="L135" i="7"/>
  <c r="O135" i="7"/>
  <c r="O152" i="7"/>
  <c r="L152" i="7"/>
  <c r="O159" i="7"/>
  <c r="L161" i="7"/>
  <c r="O161" i="7"/>
  <c r="O168" i="7"/>
  <c r="L168" i="7"/>
  <c r="O175" i="7"/>
  <c r="L177" i="7"/>
  <c r="O177" i="7"/>
  <c r="O184" i="7"/>
  <c r="L184" i="7"/>
  <c r="O191" i="7"/>
  <c r="L193" i="7"/>
  <c r="O193" i="7"/>
  <c r="O200" i="7"/>
  <c r="L200" i="7"/>
  <c r="O207" i="7"/>
  <c r="L209" i="7"/>
  <c r="O209" i="7"/>
  <c r="O216" i="7"/>
  <c r="L216" i="7"/>
  <c r="O223" i="7"/>
  <c r="L225" i="7"/>
  <c r="O225" i="7"/>
  <c r="O232" i="7"/>
  <c r="L232" i="7"/>
  <c r="O239" i="7"/>
  <c r="L241" i="7"/>
  <c r="O241" i="7"/>
  <c r="O248" i="7"/>
  <c r="L248" i="7"/>
  <c r="L250" i="7"/>
  <c r="L257" i="7"/>
  <c r="O257" i="7"/>
  <c r="O264" i="7"/>
  <c r="L264" i="7"/>
  <c r="L266" i="7"/>
  <c r="L273" i="7"/>
  <c r="O273" i="7"/>
  <c r="O280" i="7"/>
  <c r="L280" i="7"/>
  <c r="L282" i="7"/>
  <c r="O286" i="7"/>
  <c r="L284" i="7"/>
  <c r="O285" i="7"/>
  <c r="L288" i="7"/>
  <c r="O289" i="7"/>
  <c r="O284" i="7"/>
  <c r="O288" i="7"/>
  <c r="L291" i="7"/>
  <c r="O290" i="7"/>
  <c r="AG56" i="3"/>
  <c r="AB56" i="3"/>
  <c r="AC56" i="3"/>
  <c r="W56" i="3"/>
  <c r="D56" i="3"/>
  <c r="L56" i="3"/>
  <c r="X56" i="3"/>
  <c r="AF56" i="3"/>
  <c r="F56" i="3"/>
  <c r="N56" i="3"/>
  <c r="AA56" i="3"/>
  <c r="AI56" i="3"/>
  <c r="J56" i="3"/>
  <c r="V56" i="3"/>
  <c r="AD56" i="3"/>
  <c r="Z56" i="3"/>
  <c r="AH56" i="3"/>
  <c r="I52" i="7" l="1"/>
  <c r="C52" i="7" s="1"/>
  <c r="J51" i="7"/>
  <c r="I45" i="7"/>
  <c r="C45" i="7" s="1"/>
  <c r="J44" i="7"/>
  <c r="I38" i="7"/>
  <c r="C38" i="7" s="1"/>
  <c r="J37" i="7"/>
  <c r="I51" i="7"/>
  <c r="C51" i="7" s="1"/>
  <c r="I44" i="7"/>
  <c r="C44" i="7" s="1"/>
  <c r="I37" i="7"/>
  <c r="C37" i="7" s="1"/>
  <c r="J36" i="7"/>
  <c r="J50" i="7"/>
  <c r="J43" i="7"/>
  <c r="I36" i="7"/>
  <c r="C36" i="7" s="1"/>
  <c r="J35" i="7"/>
  <c r="I50" i="7"/>
  <c r="C50" i="7" s="1"/>
  <c r="J49" i="7"/>
  <c r="I43" i="7"/>
  <c r="C43" i="7" s="1"/>
  <c r="J42" i="7"/>
  <c r="I35" i="7"/>
  <c r="C35" i="7" s="1"/>
  <c r="I53" i="7"/>
  <c r="C53" i="7" s="1"/>
  <c r="J45" i="7"/>
  <c r="J38" i="7"/>
  <c r="I34" i="7"/>
  <c r="C34" i="7" s="1"/>
  <c r="I49" i="7"/>
  <c r="C49" i="7" s="1"/>
  <c r="J48" i="7"/>
  <c r="I42" i="7"/>
  <c r="C42" i="7" s="1"/>
  <c r="J41" i="7"/>
  <c r="I46" i="7"/>
  <c r="C46" i="7" s="1"/>
  <c r="I48" i="7"/>
  <c r="C48" i="7" s="1"/>
  <c r="J47" i="7"/>
  <c r="I41" i="7"/>
  <c r="C41" i="7" s="1"/>
  <c r="J40" i="7"/>
  <c r="J53" i="7"/>
  <c r="I47" i="7"/>
  <c r="C47" i="7" s="1"/>
  <c r="J46" i="7"/>
  <c r="I40" i="7"/>
  <c r="C40" i="7" s="1"/>
  <c r="J39" i="7"/>
  <c r="J34" i="7"/>
  <c r="J52" i="7"/>
  <c r="I39" i="7"/>
  <c r="C39" i="7" s="1"/>
  <c r="H49" i="7" l="1"/>
  <c r="I27" i="7" s="1"/>
  <c r="H34" i="7"/>
  <c r="I12" i="7" s="1"/>
  <c r="H47" i="7"/>
  <c r="I25" i="7" s="1"/>
  <c r="H38" i="7"/>
  <c r="I16" i="7" s="1"/>
  <c r="H35" i="7"/>
  <c r="I13" i="7" s="1"/>
  <c r="H37" i="7"/>
  <c r="I15" i="7" s="1"/>
  <c r="H46" i="7"/>
  <c r="I24" i="7" s="1"/>
  <c r="H40" i="7"/>
  <c r="I18" i="7" s="1"/>
  <c r="H39" i="7"/>
  <c r="I17" i="7" s="1"/>
  <c r="H45" i="7"/>
  <c r="I23" i="7" s="1"/>
  <c r="H52" i="7"/>
  <c r="I30" i="7" s="1"/>
  <c r="H43" i="7"/>
  <c r="I21" i="7" s="1"/>
  <c r="H44" i="7"/>
  <c r="I22" i="7" s="1"/>
  <c r="H41" i="7"/>
  <c r="I19" i="7" s="1"/>
  <c r="H50" i="7"/>
  <c r="I28" i="7" s="1"/>
  <c r="H42" i="7"/>
  <c r="I20" i="7" s="1"/>
  <c r="H36" i="7"/>
  <c r="I14" i="7" s="1"/>
  <c r="H51" i="7"/>
  <c r="I29" i="7" s="1"/>
  <c r="H53" i="7"/>
  <c r="I31" i="7" s="1"/>
  <c r="H48" i="7"/>
  <c r="I26" i="7" s="1"/>
  <c r="X2" i="7" l="1"/>
  <c r="H72" i="7"/>
  <c r="J72" i="7" s="1"/>
  <c r="C72" i="7"/>
  <c r="H67" i="7"/>
  <c r="J67" i="7" s="1"/>
  <c r="C67" i="7"/>
  <c r="H70" i="7"/>
  <c r="J70" i="7" s="1"/>
  <c r="C70" i="7"/>
  <c r="H64" i="7"/>
  <c r="J64" i="7" s="1"/>
  <c r="C64" i="7"/>
  <c r="H66" i="7"/>
  <c r="J66" i="7" s="1"/>
  <c r="C66" i="7"/>
  <c r="H62" i="7"/>
  <c r="J62" i="7" s="1"/>
  <c r="C62" i="7"/>
  <c r="H69" i="7"/>
  <c r="J69" i="7" s="1"/>
  <c r="C69" i="7"/>
  <c r="H56" i="7"/>
  <c r="J56" i="7" s="1"/>
  <c r="C56" i="7"/>
  <c r="C73" i="7"/>
  <c r="H73" i="7"/>
  <c r="J73" i="7" s="1"/>
  <c r="H58" i="7"/>
  <c r="J58" i="7" s="1"/>
  <c r="C58" i="7"/>
  <c r="H59" i="7"/>
  <c r="J59" i="7" s="1"/>
  <c r="C59" i="7"/>
  <c r="H61" i="7"/>
  <c r="J61" i="7" s="1"/>
  <c r="C61" i="7"/>
  <c r="C60" i="7"/>
  <c r="H60" i="7"/>
  <c r="J60" i="7" s="1"/>
  <c r="C75" i="7"/>
  <c r="H75" i="7"/>
  <c r="J75" i="7" s="1"/>
  <c r="C74" i="7"/>
  <c r="H74" i="7"/>
  <c r="J74" i="7" s="1"/>
  <c r="H68" i="7"/>
  <c r="J68" i="7" s="1"/>
  <c r="C68" i="7"/>
  <c r="H63" i="7"/>
  <c r="J63" i="7" s="1"/>
  <c r="C63" i="7"/>
  <c r="C65" i="7"/>
  <c r="H65" i="7"/>
  <c r="J65" i="7" s="1"/>
  <c r="H57" i="7"/>
  <c r="J57" i="7" s="1"/>
  <c r="C57" i="7"/>
  <c r="H71" i="7"/>
  <c r="J71" i="7" s="1"/>
  <c r="C71" i="7"/>
  <c r="I63" i="7" l="1"/>
  <c r="J19" i="7" s="1"/>
  <c r="O19" i="7" s="1"/>
  <c r="I66" i="7"/>
  <c r="J22" i="7" s="1"/>
  <c r="O22" i="7" s="1"/>
  <c r="I71" i="7"/>
  <c r="J27" i="7" s="1"/>
  <c r="O27" i="7" s="1"/>
  <c r="I68" i="7"/>
  <c r="J24" i="7" s="1"/>
  <c r="O24" i="7" s="1"/>
  <c r="I61" i="7"/>
  <c r="J17" i="7" s="1"/>
  <c r="O17" i="7" s="1"/>
  <c r="I56" i="7"/>
  <c r="J12" i="7" s="1"/>
  <c r="I64" i="7"/>
  <c r="J20" i="7" s="1"/>
  <c r="O20" i="7" s="1"/>
  <c r="I74" i="7"/>
  <c r="J30" i="7" s="1"/>
  <c r="O30" i="7" s="1"/>
  <c r="I72" i="7"/>
  <c r="J28" i="7" s="1"/>
  <c r="O28" i="7" s="1"/>
  <c r="I60" i="7"/>
  <c r="J16" i="7" s="1"/>
  <c r="O16" i="7" s="1"/>
  <c r="I73" i="7"/>
  <c r="J29" i="7" s="1"/>
  <c r="O29" i="7" s="1"/>
  <c r="I57" i="7"/>
  <c r="J13" i="7" s="1"/>
  <c r="O13" i="7" s="1"/>
  <c r="I59" i="7"/>
  <c r="J15" i="7" s="1"/>
  <c r="O15" i="7" s="1"/>
  <c r="I69" i="7"/>
  <c r="J25" i="7" s="1"/>
  <c r="O25" i="7" s="1"/>
  <c r="I70" i="7"/>
  <c r="J26" i="7" s="1"/>
  <c r="O26" i="7" s="1"/>
  <c r="I58" i="7"/>
  <c r="J14" i="7" s="1"/>
  <c r="O14" i="7" s="1"/>
  <c r="I62" i="7"/>
  <c r="J18" i="7" s="1"/>
  <c r="O18" i="7" s="1"/>
  <c r="I67" i="7"/>
  <c r="J23" i="7" s="1"/>
  <c r="O23" i="7" s="1"/>
  <c r="I65" i="7"/>
  <c r="J21" i="7" s="1"/>
  <c r="O21" i="7" s="1"/>
  <c r="I75" i="7"/>
  <c r="J31" i="7" s="1"/>
  <c r="O31" i="7" s="1"/>
  <c r="O9" i="7" l="1"/>
  <c r="O12" i="7"/>
  <c r="O8" i="7"/>
  <c r="O6" i="7" l="1"/>
  <c r="O7" i="7"/>
</calcChain>
</file>

<file path=xl/sharedStrings.xml><?xml version="1.0" encoding="utf-8"?>
<sst xmlns="http://schemas.openxmlformats.org/spreadsheetml/2006/main" count="221" uniqueCount="60">
  <si>
    <t>lux</t>
    <phoneticPr fontId="1" type="noConversion"/>
  </si>
  <si>
    <t>target</t>
    <phoneticPr fontId="1" type="noConversion"/>
  </si>
  <si>
    <t>original</t>
    <phoneticPr fontId="1" type="noConversion"/>
  </si>
  <si>
    <t>AE</t>
    <phoneticPr fontId="1" type="noConversion"/>
  </si>
  <si>
    <t>gamma</t>
    <phoneticPr fontId="1" type="noConversion"/>
  </si>
  <si>
    <t>final</t>
    <phoneticPr fontId="1" type="noConversion"/>
  </si>
  <si>
    <t>C7 gamma</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</si>
  <si>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</si>
  <si>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</si>
  <si>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</si>
  <si>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</si>
  <si>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</si>
  <si>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Modify gamma</t>
    <phoneticPr fontId="1" type="noConversion"/>
  </si>
  <si>
    <t>index</t>
    <phoneticPr fontId="1" type="noConversion"/>
  </si>
  <si>
    <t>value</t>
    <phoneticPr fontId="1" type="noConversion"/>
  </si>
  <si>
    <t>Gamma from
C7</t>
    <phoneticPr fontId="1" type="noConversion"/>
  </si>
  <si>
    <t>T</t>
    <phoneticPr fontId="1" type="noConversion"/>
  </si>
  <si>
    <t>O</t>
    <phoneticPr fontId="1" type="noConversion"/>
  </si>
  <si>
    <t>F</t>
    <phoneticPr fontId="1" type="noConversion"/>
  </si>
  <si>
    <t>Color summary (target / original)</t>
    <phoneticPr fontId="1" type="noConversion"/>
  </si>
  <si>
    <t>target / final</t>
    <phoneticPr fontId="1" type="noConversion"/>
  </si>
  <si>
    <t>Lightness error abs avg</t>
    <phoneticPr fontId="1" type="noConversion"/>
  </si>
  <si>
    <t>Contrast ratio</t>
    <phoneticPr fontId="1" type="noConversion"/>
  </si>
  <si>
    <t>Gamma</t>
    <phoneticPr fontId="1" type="noConversion"/>
  </si>
  <si>
    <t>Δlightness</t>
    <phoneticPr fontId="1" type="noConversion"/>
  </si>
  <si>
    <t>diff</t>
    <phoneticPr fontId="1" type="noConversion"/>
  </si>
  <si>
    <t>device</t>
    <phoneticPr fontId="1" type="noConversion"/>
  </si>
  <si>
    <t>avg.</t>
    <phoneticPr fontId="1" type="noConversion"/>
  </si>
  <si>
    <t>Target phone step chart</t>
    <phoneticPr fontId="1" type="noConversion"/>
  </si>
  <si>
    <t>Device original step chart</t>
    <phoneticPr fontId="1" type="noConversion"/>
  </si>
  <si>
    <t>Device final step chart</t>
    <phoneticPr fontId="1" type="noConversion"/>
  </si>
  <si>
    <t>lux region</t>
    <phoneticPr fontId="1" type="noConversion"/>
  </si>
  <si>
    <t>1000 / 900</t>
    <phoneticPr fontId="1" type="noConversion"/>
  </si>
  <si>
    <t>900 / 800</t>
    <phoneticPr fontId="1" type="noConversion"/>
  </si>
  <si>
    <t>800 / 700</t>
    <phoneticPr fontId="1" type="noConversion"/>
  </si>
  <si>
    <t>700 / 600</t>
    <phoneticPr fontId="1" type="noConversion"/>
  </si>
  <si>
    <t>600 / 500</t>
    <phoneticPr fontId="1" type="noConversion"/>
  </si>
  <si>
    <t>500 / 400</t>
    <phoneticPr fontId="1" type="noConversion"/>
  </si>
  <si>
    <t>400 / 300</t>
    <phoneticPr fontId="1" type="noConversion"/>
  </si>
  <si>
    <t>300 / 200</t>
    <phoneticPr fontId="1" type="noConversion"/>
  </si>
  <si>
    <t>200 / 100</t>
    <phoneticPr fontId="1" type="noConversion"/>
  </si>
  <si>
    <t>100 / 50</t>
    <phoneticPr fontId="1" type="noConversion"/>
  </si>
  <si>
    <t>50 / 20</t>
    <phoneticPr fontId="1" type="noConversion"/>
  </si>
  <si>
    <t>5/ 2</t>
    <phoneticPr fontId="1" type="noConversion"/>
  </si>
  <si>
    <t>10 / 5</t>
    <phoneticPr fontId="1" type="noConversion"/>
  </si>
  <si>
    <t>20 / 10</t>
    <phoneticPr fontId="1" type="noConversion"/>
  </si>
  <si>
    <t>Target / Device final ABS error summury</t>
    <phoneticPr fontId="1" type="noConversion"/>
  </si>
  <si>
    <t>Target / Device final ABS error</t>
    <phoneticPr fontId="1" type="noConversion"/>
  </si>
  <si>
    <t>Std.</t>
    <phoneticPr fontId="1" type="noConversion"/>
  </si>
  <si>
    <t>Target phone step chart ratio between two lux</t>
    <phoneticPr fontId="1" type="noConversion"/>
  </si>
  <si>
    <t>Device original step chart ratio between two lux</t>
    <phoneticPr fontId="1" type="noConversion"/>
  </si>
  <si>
    <t>Device final step chart ratio between two lux</t>
    <phoneticPr fontId="1" type="noConversion"/>
  </si>
  <si>
    <t>Region, AE precheck</t>
    <phoneticPr fontId="1" type="noConversion"/>
  </si>
  <si>
    <t>Gamma final check</t>
    <phoneticPr fontId="1" type="noConversion"/>
  </si>
  <si>
    <t>Target / Device original 1~4 AE ABS error</t>
    <phoneticPr fontId="1" type="noConversion"/>
  </si>
  <si>
    <t>Gamma calculator</t>
    <phoneticPr fontId="1" type="noConversion"/>
  </si>
  <si>
    <t>crtl + n</t>
    <phoneticPr fontId="1" type="noConversion"/>
  </si>
  <si>
    <t>1. C7讀取照片，查找對應的gamma，輸入Gamma from C7
2. 修改Modify gamma，或使用規劃求解。按ctrl+n，重跑巨集更新色塊</t>
    <phoneticPr fontId="1" type="noConversion"/>
  </si>
  <si>
    <t>Contrast</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</si>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</sst>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_ "/>
    <numFmt numFmtId="177" formatCode="0.000_ "/>
    <numFmt numFmtId="178" formatCode="0_ "/>
    <numFmt numFmtId="179" formatCode="0.0_);[Red]\(0.0\)"/>
    <numFmt numFmtId="180" formatCode="0.0_ ;[Red]\-0.0\ "/>
    <numFmt numFmtId="181" formatCode="0.0_ "/>
  </numFmts>
  <fonts count="13" x14ac:knownFonts="1">
    <font>
      <sz val="12"/>
      <color theme="1"/>
      <name val="新細明體"/>
      <family val="2"/>
      <charset val="136"/>
      <scheme val="minor"/>
    </font>
    <font>
      <sz val="9"/>
      <name val="新細明體"/>
      <family val="2"/>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2"/>
      <color theme="1"/>
      <name val="新細明體"/>
      <family val="1"/>
      <charset val="136"/>
      <scheme val="minor"/>
    </font>
    <font>
      <sz val="12"/>
      <color theme="4" tint="-0.249977111117893"/>
      <name val="新細明體"/>
      <family val="1"/>
      <charset val="136"/>
      <scheme val="minor"/>
    </font>
    <font>
      <sz val="26"/>
      <color theme="1"/>
      <name val="Calibri"/>
      <family val="2"/>
    </font>
    <font>
      <b/>
      <sz val="12"/>
      <color theme="1"/>
      <name val="新細明體"/>
      <family val="1"/>
      <charset val="136"/>
      <scheme val="minor"/>
    </font>
    <font>
      <sz val="24"/>
      <color theme="1"/>
      <name val="新細明體"/>
      <family val="2"/>
      <charset val="136"/>
      <scheme val="minor"/>
    </font>
    <font>
      <sz val="24"/>
      <color theme="1"/>
      <name val="Calibri"/>
      <family val="2"/>
    </font>
    <font>
      <b/>
      <sz val="14"/>
      <color theme="1"/>
      <name val="Calibri"/>
      <family val="2"/>
    </font>
    <font>
      <sz val="9"/>
      <color theme="1"/>
      <name val="新細明體"/>
      <family val="1"/>
      <charset val="136"/>
      <scheme val="minor"/>
    </font>
    <font>
      <sz val="9"/>
      <color rgb="FF000000"/>
      <name val="新細明體"/>
      <family val="1"/>
      <charset val="136"/>
    </font>
  </fonts>
  <fills count="52">
    <fill>
      <patternFill patternType="none"/>
    </fill>
    <fill>
      <patternFill patternType="gray125"/>
    </fill>
    <fill>
      <patternFill patternType="solid">
        <fgColor theme="2"/>
        <bgColor indexed="64"/>
      </patternFill>
    </fill>
    <fill>
      <patternFill patternType="solid">
        <fgColor rgb="FFE0E0E0"/>
        <bgColor indexed="64"/>
      </patternFill>
    </fill>
    <fill>
      <patternFill patternType="solid">
        <fgColor rgb="FFCDCDCD"/>
        <bgColor indexed="64"/>
      </patternFill>
    </fill>
    <fill>
      <patternFill patternType="solid">
        <fgColor rgb="FFB2B2B2"/>
        <bgColor indexed="64"/>
      </patternFill>
    </fill>
    <fill>
      <patternFill patternType="solid">
        <fgColor rgb="FF9C9C9C"/>
        <bgColor indexed="64"/>
      </patternFill>
    </fill>
    <fill>
      <patternFill patternType="solid">
        <fgColor rgb="FF7F7F7F"/>
        <bgColor indexed="64"/>
      </patternFill>
    </fill>
    <fill>
      <patternFill patternType="solid">
        <fgColor rgb="FF6C6C6C"/>
        <bgColor indexed="64"/>
      </patternFill>
    </fill>
    <fill>
      <patternFill patternType="solid">
        <fgColor rgb="FF595959"/>
        <bgColor indexed="64"/>
      </patternFill>
    </fill>
    <fill>
      <patternFill patternType="solid">
        <fgColor rgb="FF4B4B4B"/>
        <bgColor indexed="64"/>
      </patternFill>
    </fill>
    <fill>
      <patternFill patternType="solid">
        <fgColor rgb="FF3B3B3B"/>
        <bgColor indexed="64"/>
      </patternFill>
    </fill>
    <fill>
      <patternFill patternType="solid">
        <fgColor rgb="FF323232"/>
        <bgColor indexed="64"/>
      </patternFill>
    </fill>
    <fill>
      <patternFill patternType="solid">
        <fgColor rgb="FF282828"/>
        <bgColor indexed="64"/>
      </patternFill>
    </fill>
    <fill>
      <patternFill patternType="solid">
        <fgColor rgb="FF202020"/>
        <bgColor indexed="64"/>
      </patternFill>
    </fill>
    <fill>
      <patternFill patternType="solid">
        <fgColor rgb="FF191919"/>
        <bgColor indexed="64"/>
      </patternFill>
    </fill>
    <fill>
      <patternFill patternType="solid">
        <fgColor rgb="FF121212"/>
        <bgColor indexed="64"/>
      </patternFill>
    </fill>
    <fill>
      <patternFill patternType="solid">
        <fgColor rgb="FF0D0D0D"/>
        <bgColor indexed="64"/>
      </patternFill>
    </fill>
    <fill>
      <patternFill patternType="solid">
        <fgColor rgb="FF0A0A0A"/>
        <bgColor indexed="64"/>
      </patternFill>
    </fill>
    <fill>
      <patternFill patternType="solid">
        <fgColor rgb="FF060606"/>
        <bgColor indexed="64"/>
      </patternFill>
    </fill>
    <fill>
      <patternFill patternType="solid">
        <fgColor rgb="FF040404"/>
        <bgColor indexed="64"/>
      </patternFill>
    </fill>
    <fill>
      <patternFill patternType="solid">
        <fgColor rgb="FF030303"/>
        <bgColor indexed="64"/>
      </patternFill>
    </fill>
    <fill>
      <patternFill patternType="solid">
        <fgColor rgb="FF020202"/>
        <bgColor indexed="64"/>
      </patternFill>
    </fill>
    <fill>
      <patternFill patternType="solid">
        <fgColor rgb="FF1F1F1F"/>
        <bgColor indexed="64"/>
      </patternFill>
    </fill>
    <fill>
      <patternFill patternType="solid">
        <fgColor rgb="FF0E0E0E"/>
        <bgColor indexed="64"/>
      </patternFill>
    </fill>
    <fill>
      <patternFill patternType="solid">
        <fgColor rgb="FF090909"/>
        <bgColor indexed="64"/>
      </patternFill>
    </fill>
    <fill>
      <patternFill patternType="solid">
        <fgColor rgb="FF111111"/>
        <bgColor indexed="64"/>
      </patternFill>
    </fill>
    <fill>
      <patternFill patternType="solid">
        <fgColor rgb="FF0F0F0F"/>
        <bgColor indexed="64"/>
      </patternFill>
    </fill>
    <fill>
      <patternFill patternType="solid">
        <fgColor rgb="FF6A6A6A"/>
        <bgColor indexed="64"/>
      </patternFill>
    </fill>
    <fill>
      <patternFill patternType="solid">
        <fgColor rgb="FF141414"/>
        <bgColor indexed="64"/>
      </patternFill>
    </fill>
    <fill>
      <patternFill patternType="solid">
        <fgColor rgb="FF080808"/>
        <bgColor indexed="64"/>
      </patternFill>
    </fill>
    <fill>
      <patternFill patternType="solid">
        <fgColor rgb="FF050505"/>
        <bgColor indexed="64"/>
      </patternFill>
    </fill>
    <fill>
      <patternFill patternType="solid">
        <fgColor rgb="FF353535"/>
        <bgColor indexed="64"/>
      </patternFill>
    </fill>
    <fill>
      <patternFill patternType="solid">
        <fgColor rgb="FF1E1E1E"/>
        <bgColor indexed="64"/>
      </patternFill>
    </fill>
    <fill>
      <patternFill patternType="solid">
        <fgColor rgb="FF0C0C0C"/>
        <bgColor indexed="64"/>
      </patternFill>
    </fill>
    <fill>
      <patternFill patternType="solid">
        <fgColor rgb="FF010101"/>
        <bgColor indexed="64"/>
      </patternFill>
    </fill>
    <fill>
      <patternFill patternType="solid">
        <fgColor rgb="FF262626"/>
        <bgColor indexed="64"/>
      </patternFill>
    </fill>
    <fill>
      <patternFill patternType="solid">
        <fgColor rgb="FF7A7A7A"/>
        <bgColor indexed="64"/>
      </patternFill>
    </fill>
    <fill>
      <patternFill patternType="solid">
        <fgColor rgb="FF6D6D6D"/>
        <bgColor indexed="64"/>
      </patternFill>
    </fill>
    <fill>
      <patternFill patternType="solid">
        <fgColor rgb="FF070707"/>
        <bgColor indexed="64"/>
      </patternFill>
    </fill>
    <fill>
      <patternFill patternType="solid">
        <fgColor rgb="FF414141"/>
        <bgColor indexed="64"/>
      </patternFill>
    </fill>
    <fill>
      <patternFill patternType="solid">
        <fgColor rgb="FF373737"/>
        <bgColor indexed="64"/>
      </patternFill>
    </fill>
    <fill>
      <patternFill patternType="solid">
        <fgColor rgb="FF787878"/>
        <bgColor indexed="64"/>
      </patternFill>
    </fill>
    <fill>
      <patternFill patternType="solid">
        <fgColor rgb="FF2E2E2E"/>
        <bgColor indexed="64"/>
      </patternFill>
    </fill>
    <fill>
      <patternFill patternType="solid">
        <fgColor rgb="FF5D5D5D"/>
        <bgColor indexed="64"/>
      </patternFill>
    </fill>
    <fill>
      <patternFill patternType="solid">
        <fgColor rgb="FF505050"/>
        <bgColor indexed="64"/>
      </patternFill>
    </fill>
    <fill>
      <patternFill patternType="solid">
        <fgColor rgb="FF5B5B5B"/>
        <bgColor indexed="64"/>
      </patternFill>
    </fill>
    <fill>
      <patternFill patternType="solid">
        <fgColor rgb="FF4F4F4F"/>
        <bgColor indexed="64"/>
      </patternFill>
    </fill>
    <fill>
      <patternFill patternType="solid">
        <fgColor rgb="FF42424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alignment vertical="center"/>
    </xf>
  </cellStyleXfs>
  <cellXfs count="233">
    <xf numFmtId="0" fontId="0" fillId="0" borderId="0" xfId="0">
      <alignment vertical="center"/>
    </xf>
    <xf numFmtId="0" fontId="0" fillId="0" borderId="0" xfId="0" applyAlignment="1">
      <alignment horizontal="center" vertical="center"/>
    </xf>
    <xf numFmtId="0" fontId="2" fillId="0" borderId="0" xfId="0" applyFont="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3" fillId="0" borderId="0" xfId="0" applyFont="1" applyBorder="1" applyAlignment="1">
      <alignment horizontal="center" vertical="center"/>
    </xf>
    <xf numFmtId="178" fontId="0" fillId="0" borderId="0" xfId="0" applyNumberFormat="1" applyAlignment="1">
      <alignment horizontal="center" vertical="center"/>
    </xf>
    <xf numFmtId="179" fontId="0" fillId="0" borderId="0" xfId="0" applyNumberFormat="1" applyAlignment="1">
      <alignment horizontal="center" vertical="center"/>
    </xf>
    <xf numFmtId="177" fontId="4" fillId="0" borderId="0" xfId="0" applyNumberFormat="1" applyFont="1" applyAlignment="1">
      <alignment horizontal="center" vertical="center"/>
    </xf>
    <xf numFmtId="179" fontId="0" fillId="3" borderId="0" xfId="0" applyNumberFormat="1" applyFill="1" applyAlignment="1">
      <alignment horizontal="center" vertical="center"/>
    </xf>
    <xf numFmtId="179" fontId="0" fillId="4" borderId="0" xfId="0" applyNumberFormat="1" applyFill="1" applyAlignment="1">
      <alignment horizontal="center" vertical="center"/>
    </xf>
    <xf numFmtId="179" fontId="0" fillId="5" borderId="0" xfId="0" applyNumberFormat="1" applyFill="1" applyAlignment="1">
      <alignment horizontal="center" vertical="center"/>
    </xf>
    <xf numFmtId="179" fontId="0" fillId="6" borderId="0" xfId="0" applyNumberFormat="1" applyFill="1" applyAlignment="1">
      <alignment horizontal="center" vertical="center"/>
    </xf>
    <xf numFmtId="179" fontId="0" fillId="7" borderId="0" xfId="0" applyNumberFormat="1" applyFill="1" applyAlignment="1">
      <alignment horizontal="center" vertical="center"/>
    </xf>
    <xf numFmtId="179" fontId="0" fillId="8" borderId="0" xfId="0" applyNumberFormat="1" applyFill="1" applyAlignment="1">
      <alignment horizontal="center" vertical="center"/>
    </xf>
    <xf numFmtId="179" fontId="0" fillId="9" borderId="0" xfId="0" applyNumberFormat="1" applyFill="1" applyAlignment="1">
      <alignment horizontal="center" vertical="center"/>
    </xf>
    <xf numFmtId="179" fontId="0" fillId="10" borderId="0" xfId="0" applyNumberFormat="1" applyFill="1" applyAlignment="1">
      <alignment horizontal="center" vertical="center"/>
    </xf>
    <xf numFmtId="179" fontId="0" fillId="11" borderId="0" xfId="0" applyNumberFormat="1" applyFill="1" applyAlignment="1">
      <alignment horizontal="center" vertical="center"/>
    </xf>
    <xf numFmtId="179" fontId="0" fillId="12" borderId="0" xfId="0" applyNumberFormat="1" applyFill="1" applyAlignment="1">
      <alignment horizontal="center" vertical="center"/>
    </xf>
    <xf numFmtId="179" fontId="0" fillId="13" borderId="0" xfId="0" applyNumberFormat="1" applyFill="1" applyAlignment="1">
      <alignment horizontal="center" vertical="center"/>
    </xf>
    <xf numFmtId="179" fontId="0" fillId="14" borderId="0" xfId="0" applyNumberFormat="1" applyFill="1" applyAlignment="1">
      <alignment horizontal="center" vertical="center"/>
    </xf>
    <xf numFmtId="179" fontId="0" fillId="15" borderId="0" xfId="0" applyNumberFormat="1" applyFill="1" applyAlignment="1">
      <alignment horizontal="center" vertical="center"/>
    </xf>
    <xf numFmtId="179" fontId="0" fillId="16" borderId="0" xfId="0" applyNumberFormat="1" applyFill="1" applyAlignment="1">
      <alignment horizontal="center" vertical="center"/>
    </xf>
    <xf numFmtId="179" fontId="0" fillId="17" borderId="0" xfId="0" applyNumberFormat="1" applyFill="1" applyAlignment="1">
      <alignment horizontal="center" vertical="center"/>
    </xf>
    <xf numFmtId="179" fontId="0" fillId="18" borderId="0" xfId="0" applyNumberFormat="1" applyFill="1" applyAlignment="1">
      <alignment horizontal="center" vertical="center"/>
    </xf>
    <xf numFmtId="179" fontId="0" fillId="19" borderId="0" xfId="0" applyNumberFormat="1" applyFill="1" applyAlignment="1">
      <alignment horizontal="center" vertical="center"/>
    </xf>
    <xf numFmtId="179" fontId="0" fillId="20" borderId="0" xfId="0" applyNumberFormat="1" applyFill="1" applyAlignment="1">
      <alignment horizontal="center" vertical="center"/>
    </xf>
    <xf numFmtId="179" fontId="0" fillId="21" borderId="0" xfId="0" applyNumberFormat="1" applyFill="1" applyAlignment="1">
      <alignment horizontal="center" vertical="center"/>
    </xf>
    <xf numFmtId="179" fontId="0" fillId="22" borderId="0" xfId="0" applyNumberFormat="1" applyFill="1" applyAlignment="1">
      <alignment horizontal="center" vertical="center"/>
    </xf>
    <xf numFmtId="177" fontId="0" fillId="2"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77" fontId="0" fillId="0" borderId="0" xfId="0" applyNumberFormat="1" applyFill="1" applyBorder="1" applyAlignment="1">
      <alignment horizontal="center" vertical="center"/>
    </xf>
    <xf numFmtId="10" fontId="0" fillId="0" borderId="0" xfId="0" applyNumberFormat="1" applyFill="1" applyBorder="1" applyAlignment="1">
      <alignment horizontal="center" vertical="center"/>
    </xf>
    <xf numFmtId="180" fontId="0" fillId="0" borderId="0" xfId="0" applyNumberFormat="1" applyAlignment="1">
      <alignment horizontal="center" vertical="center"/>
    </xf>
    <xf numFmtId="0" fontId="0" fillId="2" borderId="1" xfId="0" applyFill="1" applyBorder="1" applyAlignment="1">
      <alignment horizontal="center" vertical="center"/>
    </xf>
    <xf numFmtId="0" fontId="0" fillId="0" borderId="12" xfId="0" applyBorder="1" applyAlignment="1">
      <alignment horizontal="center" vertical="center"/>
    </xf>
    <xf numFmtId="0" fontId="0" fillId="2" borderId="1" xfId="0" applyFill="1" applyBorder="1" applyAlignment="1">
      <alignment horizontal="center" vertical="center"/>
    </xf>
    <xf numFmtId="0" fontId="0" fillId="0" borderId="11" xfId="0"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2" borderId="14" xfId="0" applyFill="1" applyBorder="1" applyAlignment="1">
      <alignment horizontal="center" vertical="center"/>
    </xf>
    <xf numFmtId="0" fontId="0" fillId="2" borderId="10" xfId="0" applyFill="1" applyBorder="1" applyAlignment="1">
      <alignment horizontal="center" vertical="center"/>
    </xf>
    <xf numFmtId="0" fontId="0" fillId="2" borderId="2" xfId="0" applyFill="1" applyBorder="1" applyAlignment="1">
      <alignment horizontal="center" vertical="center"/>
    </xf>
    <xf numFmtId="0" fontId="0" fillId="2" borderId="2" xfId="0" applyFill="1" applyBorder="1" applyAlignment="1">
      <alignment horizontal="center" vertical="center"/>
    </xf>
    <xf numFmtId="176" fontId="0" fillId="0" borderId="8" xfId="0" applyNumberFormat="1" applyBorder="1" applyAlignment="1">
      <alignment horizontal="center" vertical="center"/>
    </xf>
    <xf numFmtId="176" fontId="0" fillId="0" borderId="13" xfId="0" applyNumberFormat="1" applyBorder="1" applyAlignment="1">
      <alignment horizontal="center" vertical="center"/>
    </xf>
    <xf numFmtId="176" fontId="0" fillId="0" borderId="9" xfId="0" applyNumberFormat="1" applyBorder="1" applyAlignment="1">
      <alignment horizontal="center" vertical="center"/>
    </xf>
    <xf numFmtId="176" fontId="0" fillId="0" borderId="11" xfId="0" applyNumberFormat="1" applyBorder="1" applyAlignment="1">
      <alignment horizontal="center" vertical="center"/>
    </xf>
    <xf numFmtId="176" fontId="0" fillId="0" borderId="0"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176" fontId="0" fillId="0" borderId="5" xfId="0" applyNumberFormat="1"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176" fontId="0" fillId="0" borderId="12" xfId="0" applyNumberFormat="1" applyBorder="1" applyAlignment="1">
      <alignment horizontal="center" vertical="center"/>
    </xf>
    <xf numFmtId="0" fontId="0" fillId="0" borderId="5" xfId="0" applyBorder="1" applyAlignment="1">
      <alignment horizontal="center" vertical="center"/>
    </xf>
    <xf numFmtId="0" fontId="0" fillId="0" borderId="4" xfId="0" applyFill="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0" fillId="0" borderId="13" xfId="0" applyFill="1"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176" fontId="0" fillId="0" borderId="0" xfId="0" applyNumberFormat="1" applyAlignment="1">
      <alignment horizontal="center" vertical="center"/>
    </xf>
    <xf numFmtId="0" fontId="0" fillId="2" borderId="12" xfId="0" applyFill="1" applyBorder="1" applyAlignment="1">
      <alignment horizontal="center" vertical="center"/>
    </xf>
    <xf numFmtId="0" fontId="0" fillId="2" borderId="9" xfId="0" applyFill="1" applyBorder="1" applyAlignment="1">
      <alignment horizontal="center" vertical="center"/>
    </xf>
    <xf numFmtId="181" fontId="0" fillId="0" borderId="0" xfId="0" applyNumberFormat="1" applyBorder="1" applyAlignment="1">
      <alignment horizontal="center" vertical="center"/>
    </xf>
    <xf numFmtId="181" fontId="0" fillId="0" borderId="3" xfId="0" applyNumberFormat="1" applyBorder="1" applyAlignment="1">
      <alignment horizontal="center" vertical="center"/>
    </xf>
    <xf numFmtId="0" fontId="0" fillId="0" borderId="3" xfId="0" applyFill="1" applyBorder="1" applyAlignment="1">
      <alignment horizontal="center" vertical="center"/>
    </xf>
    <xf numFmtId="0" fontId="0" fillId="0" borderId="5" xfId="0" applyFill="1" applyBorder="1" applyAlignment="1">
      <alignment horizontal="center" vertical="center"/>
    </xf>
    <xf numFmtId="0" fontId="0" fillId="0" borderId="8" xfId="0" applyFill="1" applyBorder="1" applyAlignment="1">
      <alignment horizontal="center" vertical="center"/>
    </xf>
    <xf numFmtId="0" fontId="0" fillId="0" borderId="11" xfId="0" applyFill="1" applyBorder="1" applyAlignment="1">
      <alignment horizontal="center" vertical="center"/>
    </xf>
    <xf numFmtId="0" fontId="0" fillId="0" borderId="12" xfId="0" applyFill="1" applyBorder="1" applyAlignment="1">
      <alignment horizontal="center" vertical="center"/>
    </xf>
    <xf numFmtId="179" fontId="0" fillId="38" borderId="0" xfId="0" applyNumberFormat="1" applyFill="1" applyBorder="1" applyAlignment="1">
      <alignment horizontal="center" vertical="center"/>
    </xf>
    <xf numFmtId="179" fontId="0" fillId="33" borderId="0" xfId="0" applyNumberFormat="1" applyFill="1" applyBorder="1" applyAlignment="1">
      <alignment horizontal="center" vertical="center"/>
    </xf>
    <xf numFmtId="179" fontId="0" fillId="13" borderId="0" xfId="0" applyNumberFormat="1" applyFill="1" applyBorder="1" applyAlignment="1">
      <alignment horizontal="center" vertical="center"/>
    </xf>
    <xf numFmtId="179" fontId="0" fillId="24" borderId="0" xfId="0" applyNumberFormat="1" applyFill="1" applyBorder="1" applyAlignment="1">
      <alignment horizontal="center" vertical="center"/>
    </xf>
    <xf numFmtId="179" fontId="0" fillId="18" borderId="0" xfId="0" applyNumberFormat="1" applyFill="1" applyBorder="1" applyAlignment="1">
      <alignment horizontal="center" vertical="center"/>
    </xf>
    <xf numFmtId="179" fontId="0" fillId="39" borderId="0" xfId="0" applyNumberFormat="1" applyFill="1" applyBorder="1" applyAlignment="1">
      <alignment horizontal="center" vertical="center"/>
    </xf>
    <xf numFmtId="179" fontId="0" fillId="29" borderId="0" xfId="0" applyNumberFormat="1" applyFill="1" applyBorder="1" applyAlignment="1">
      <alignment horizontal="center" vertical="center"/>
    </xf>
    <xf numFmtId="179" fontId="0" fillId="20" borderId="0" xfId="0" applyNumberFormat="1" applyFill="1" applyBorder="1" applyAlignment="1">
      <alignment horizontal="center" vertical="center"/>
    </xf>
    <xf numFmtId="179" fontId="0" fillId="26" borderId="0" xfId="0" applyNumberFormat="1" applyFill="1" applyBorder="1" applyAlignment="1">
      <alignment horizontal="center" vertical="center"/>
    </xf>
    <xf numFmtId="179" fontId="0" fillId="21" borderId="0" xfId="0" applyNumberFormat="1" applyFill="1" applyBorder="1" applyAlignment="1">
      <alignment horizontal="center" vertical="center"/>
    </xf>
    <xf numFmtId="179" fontId="0" fillId="27" borderId="0" xfId="0" applyNumberFormat="1" applyFill="1" applyBorder="1" applyAlignment="1">
      <alignment horizontal="center" vertical="center"/>
    </xf>
    <xf numFmtId="179" fontId="0" fillId="22" borderId="0" xfId="0" applyNumberFormat="1" applyFill="1" applyBorder="1" applyAlignment="1">
      <alignment horizontal="center" vertical="center"/>
    </xf>
    <xf numFmtId="179" fontId="0" fillId="34" borderId="0" xfId="0" applyNumberFormat="1" applyFill="1" applyBorder="1" applyAlignment="1">
      <alignment horizontal="center" vertical="center"/>
    </xf>
    <xf numFmtId="179" fontId="0" fillId="37" borderId="0" xfId="0" applyNumberFormat="1" applyFill="1" applyBorder="1" applyAlignment="1">
      <alignment horizontal="center" vertical="center"/>
    </xf>
    <xf numFmtId="179" fontId="0" fillId="44" borderId="0" xfId="0" applyNumberFormat="1" applyFill="1" applyBorder="1" applyAlignment="1">
      <alignment horizontal="center" vertical="center"/>
    </xf>
    <xf numFmtId="179" fontId="0" fillId="45" borderId="0" xfId="0" applyNumberFormat="1" applyFill="1" applyBorder="1" applyAlignment="1">
      <alignment horizontal="center" vertical="center"/>
    </xf>
    <xf numFmtId="179" fontId="0" fillId="40" borderId="0" xfId="0" applyNumberFormat="1" applyFill="1" applyBorder="1" applyAlignment="1">
      <alignment horizontal="center" vertical="center"/>
    </xf>
    <xf numFmtId="179" fontId="0" fillId="32" borderId="0" xfId="0" applyNumberFormat="1" applyFill="1" applyBorder="1" applyAlignment="1">
      <alignment horizontal="center" vertical="center"/>
    </xf>
    <xf numFmtId="179" fontId="0" fillId="23" borderId="0" xfId="0" applyNumberFormat="1" applyFill="1" applyBorder="1" applyAlignment="1">
      <alignment horizontal="center" vertical="center"/>
    </xf>
    <xf numFmtId="179" fontId="0" fillId="15" borderId="0" xfId="0" applyNumberFormat="1" applyFill="1" applyBorder="1" applyAlignment="1">
      <alignment horizontal="center" vertical="center"/>
    </xf>
    <xf numFmtId="179" fontId="0" fillId="25" borderId="0" xfId="0" applyNumberFormat="1" applyFill="1" applyBorder="1" applyAlignment="1">
      <alignment horizontal="center" vertical="center"/>
    </xf>
    <xf numFmtId="179" fontId="0" fillId="31" borderId="0" xfId="0" applyNumberFormat="1" applyFill="1" applyBorder="1" applyAlignment="1">
      <alignment horizontal="center" vertical="center"/>
    </xf>
    <xf numFmtId="179" fontId="0" fillId="35" borderId="0" xfId="0" applyNumberFormat="1" applyFill="1" applyBorder="1" applyAlignment="1">
      <alignment horizontal="center" vertical="center"/>
    </xf>
    <xf numFmtId="179" fontId="0" fillId="42" borderId="0" xfId="0" applyNumberFormat="1" applyFill="1" applyBorder="1" applyAlignment="1">
      <alignment horizontal="center" vertical="center"/>
    </xf>
    <xf numFmtId="179" fontId="0" fillId="28" borderId="0" xfId="0" applyNumberFormat="1" applyFill="1" applyBorder="1" applyAlignment="1">
      <alignment horizontal="center" vertical="center"/>
    </xf>
    <xf numFmtId="179" fontId="0" fillId="46" borderId="0" xfId="0" applyNumberFormat="1" applyFill="1" applyBorder="1" applyAlignment="1">
      <alignment horizontal="center" vertical="center"/>
    </xf>
    <xf numFmtId="179" fontId="0" fillId="47" borderId="0" xfId="0" applyNumberFormat="1" applyFill="1" applyBorder="1" applyAlignment="1">
      <alignment horizontal="center" vertical="center"/>
    </xf>
    <xf numFmtId="179" fontId="0" fillId="48" borderId="0" xfId="0" applyNumberFormat="1" applyFill="1" applyBorder="1" applyAlignment="1">
      <alignment horizontal="center" vertical="center"/>
    </xf>
    <xf numFmtId="179" fontId="0" fillId="41" borderId="0" xfId="0" applyNumberFormat="1" applyFill="1" applyBorder="1" applyAlignment="1">
      <alignment horizontal="center" vertical="center"/>
    </xf>
    <xf numFmtId="179" fontId="0" fillId="43" borderId="0" xfId="0" applyNumberFormat="1" applyFill="1" applyBorder="1" applyAlignment="1">
      <alignment horizontal="center" vertical="center"/>
    </xf>
    <xf numFmtId="179" fontId="0" fillId="36" borderId="0" xfId="0" applyNumberFormat="1" applyFill="1" applyBorder="1" applyAlignment="1">
      <alignment horizontal="center" vertical="center"/>
    </xf>
    <xf numFmtId="179" fontId="0" fillId="30" borderId="0" xfId="0" applyNumberFormat="1" applyFill="1" applyBorder="1" applyAlignment="1">
      <alignment horizontal="center" vertical="center"/>
    </xf>
    <xf numFmtId="179" fontId="0" fillId="19" borderId="0" xfId="0" applyNumberFormat="1" applyFill="1" applyBorder="1" applyAlignment="1">
      <alignment horizontal="center" vertical="center"/>
    </xf>
    <xf numFmtId="179" fontId="0" fillId="14" borderId="0" xfId="0" applyNumberFormat="1" applyFill="1" applyBorder="1" applyAlignment="1">
      <alignment horizontal="center" vertical="center"/>
    </xf>
    <xf numFmtId="0" fontId="0" fillId="0" borderId="0"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0" xfId="0" applyBorder="1" applyAlignment="1">
      <alignment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0" xfId="0" applyAlignment="1">
      <alignment horizontal="center" vertical="center"/>
    </xf>
    <xf numFmtId="181" fontId="0" fillId="0" borderId="0" xfId="0" applyNumberFormat="1" applyFill="1" applyBorder="1" applyAlignment="1">
      <alignment horizontal="center" vertical="center"/>
    </xf>
    <xf numFmtId="0" fontId="0" fillId="0" borderId="0" xfId="0" applyAlignment="1">
      <alignment horizontal="left" vertical="center" wrapText="1"/>
    </xf>
    <xf numFmtId="0" fontId="0" fillId="0" borderId="0" xfId="0" applyBorder="1" applyAlignment="1">
      <alignment horizontal="left" vertical="center" wrapText="1"/>
    </xf>
    <xf numFmtId="0" fontId="0" fillId="0" borderId="11" xfId="0" applyBorder="1" applyAlignment="1">
      <alignment horizontal="center" vertical="center"/>
    </xf>
    <xf numFmtId="0" fontId="0" fillId="2" borderId="8" xfId="0" applyFill="1" applyBorder="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0" fillId="49" borderId="14" xfId="0" applyFill="1" applyBorder="1" applyAlignment="1">
      <alignment horizontal="center" vertical="center"/>
    </xf>
    <xf numFmtId="177" fontId="0" fillId="50" borderId="1" xfId="0" applyNumberFormat="1" applyFill="1" applyBorder="1" applyAlignment="1">
      <alignment horizontal="center" vertical="center"/>
    </xf>
    <xf numFmtId="177" fontId="0" fillId="50" borderId="10" xfId="0" applyNumberFormat="1" applyFill="1" applyBorder="1" applyAlignment="1">
      <alignment horizontal="center" vertical="center"/>
    </xf>
    <xf numFmtId="10" fontId="0" fillId="50" borderId="10"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0" fillId="2" borderId="6" xfId="0" applyNumberFormat="1" applyFill="1" applyBorder="1" applyAlignment="1">
      <alignment horizontal="center" vertical="center"/>
    </xf>
    <xf numFmtId="0" fontId="7" fillId="0" borderId="11" xfId="0" applyFont="1" applyFill="1" applyBorder="1" applyAlignment="1">
      <alignment vertical="center"/>
    </xf>
    <xf numFmtId="176" fontId="0" fillId="0" borderId="1" xfId="0" applyNumberFormat="1" applyBorder="1" applyAlignment="1">
      <alignment horizontal="center" vertical="center"/>
    </xf>
    <xf numFmtId="176" fontId="0" fillId="50" borderId="1" xfId="0" applyNumberFormat="1" applyFill="1" applyBorder="1" applyAlignment="1">
      <alignment horizontal="center" vertical="center"/>
    </xf>
    <xf numFmtId="0" fontId="0" fillId="2" borderId="6" xfId="0" applyFill="1" applyBorder="1" applyAlignment="1">
      <alignment horizontal="center" vertical="center"/>
    </xf>
    <xf numFmtId="0" fontId="0" fillId="0" borderId="0" xfId="0" applyAlignment="1">
      <alignment horizontal="center" vertical="center"/>
    </xf>
    <xf numFmtId="0" fontId="0" fillId="0" borderId="9" xfId="0" applyFill="1" applyBorder="1" applyAlignment="1">
      <alignment horizontal="center" vertical="center"/>
    </xf>
    <xf numFmtId="0" fontId="0" fillId="2" borderId="6" xfId="0" applyFill="1" applyBorder="1" applyAlignment="1">
      <alignment horizontal="center" vertical="center"/>
    </xf>
    <xf numFmtId="0" fontId="0" fillId="2" borderId="2" xfId="0" applyFill="1" applyBorder="1" applyAlignment="1">
      <alignment horizontal="center" vertical="center"/>
    </xf>
    <xf numFmtId="0" fontId="0" fillId="2" borderId="1" xfId="0" applyFill="1"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Border="1" applyAlignment="1">
      <alignment vertical="center"/>
    </xf>
    <xf numFmtId="0" fontId="0" fillId="49" borderId="1" xfId="0" applyFill="1" applyBorder="1" applyAlignment="1">
      <alignment horizontal="center" vertical="center"/>
    </xf>
    <xf numFmtId="0" fontId="0" fillId="0" borderId="0" xfId="0" applyAlignment="1">
      <alignment vertical="center"/>
    </xf>
    <xf numFmtId="0" fontId="0" fillId="50" borderId="3" xfId="0" applyFill="1" applyBorder="1" applyAlignment="1">
      <alignment horizontal="center" vertical="center"/>
    </xf>
    <xf numFmtId="0" fontId="0" fillId="50" borderId="5" xfId="0" applyFill="1" applyBorder="1" applyAlignment="1">
      <alignment horizontal="center" vertical="center"/>
    </xf>
    <xf numFmtId="0" fontId="0" fillId="50" borderId="0" xfId="0" applyFill="1" applyBorder="1" applyAlignment="1">
      <alignment horizontal="center" vertical="center"/>
    </xf>
    <xf numFmtId="0" fontId="0" fillId="50" borderId="4" xfId="0" applyFill="1" applyBorder="1" applyAlignment="1">
      <alignment horizontal="center" vertical="center"/>
    </xf>
    <xf numFmtId="0" fontId="0" fillId="50" borderId="9" xfId="0" applyFill="1" applyBorder="1" applyAlignment="1">
      <alignment horizontal="center" vertical="center"/>
    </xf>
    <xf numFmtId="0" fontId="0" fillId="49" borderId="6" xfId="0" applyFill="1" applyBorder="1" applyAlignment="1">
      <alignment horizontal="center" vertical="center"/>
    </xf>
    <xf numFmtId="0" fontId="0" fillId="0" borderId="0" xfId="0" applyBorder="1" applyAlignment="1">
      <alignment horizontal="center" vertical="center"/>
    </xf>
    <xf numFmtId="0" fontId="0" fillId="0" borderId="0" xfId="0" applyFill="1" applyBorder="1" applyAlignment="1">
      <alignment vertical="center"/>
    </xf>
    <xf numFmtId="0" fontId="0" fillId="50" borderId="0" xfId="0" applyFill="1" applyAlignment="1">
      <alignment horizontal="center" vertical="center"/>
    </xf>
    <xf numFmtId="181" fontId="0" fillId="50" borderId="0" xfId="0" applyNumberFormat="1" applyFill="1" applyBorder="1" applyAlignment="1">
      <alignment horizontal="center" vertical="center"/>
    </xf>
    <xf numFmtId="181" fontId="0" fillId="50" borderId="3" xfId="0" applyNumberFormat="1" applyFill="1"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applyAlignment="1"/>
    <xf numFmtId="0" fontId="0" fillId="0" borderId="0" xfId="0" applyBorder="1" applyAlignment="1">
      <alignment horizontal="center" vertical="center"/>
    </xf>
    <xf numFmtId="0" fontId="2" fillId="0" borderId="0" xfId="0" applyFont="1" applyAlignment="1">
      <alignment horizontal="center" vertical="center"/>
    </xf>
    <xf numFmtId="0" fontId="0" fillId="2" borderId="1" xfId="0" applyFill="1" applyBorder="1" applyAlignment="1">
      <alignment horizontal="center" vertical="center"/>
    </xf>
    <xf numFmtId="0" fontId="9" fillId="2" borderId="0" xfId="0" applyFont="1" applyFill="1" applyAlignment="1">
      <alignment horizontal="center" vertical="center"/>
    </xf>
    <xf numFmtId="0" fontId="8" fillId="0" borderId="0" xfId="0" applyFont="1" applyAlignment="1">
      <alignment vertical="center"/>
    </xf>
    <xf numFmtId="0" fontId="7" fillId="49" borderId="1" xfId="0" applyFont="1" applyFill="1" applyBorder="1" applyAlignment="1">
      <alignment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2" xfId="0" applyFill="1" applyBorder="1" applyAlignment="1">
      <alignment horizontal="center" vertical="center"/>
    </xf>
    <xf numFmtId="0" fontId="0" fillId="49" borderId="6" xfId="0" applyFill="1" applyBorder="1" applyAlignment="1">
      <alignment horizontal="center" vertical="center"/>
    </xf>
    <xf numFmtId="0" fontId="0" fillId="49" borderId="7" xfId="0" applyFill="1" applyBorder="1" applyAlignment="1">
      <alignment horizontal="center" vertical="center"/>
    </xf>
    <xf numFmtId="0" fontId="0" fillId="49" borderId="2" xfId="0" applyFill="1" applyBorder="1" applyAlignment="1">
      <alignment horizontal="center" vertical="center"/>
    </xf>
    <xf numFmtId="0" fontId="7" fillId="2" borderId="14" xfId="0" applyFont="1" applyFill="1" applyBorder="1" applyAlignment="1">
      <alignment vertical="center"/>
    </xf>
    <xf numFmtId="0" fontId="0" fillId="0" borderId="15" xfId="0" applyBorder="1" applyAlignment="1">
      <alignment vertical="center"/>
    </xf>
    <xf numFmtId="0" fontId="7" fillId="2" borderId="1" xfId="0" applyFont="1" applyFill="1" applyBorder="1" applyAlignment="1">
      <alignment vertical="center"/>
    </xf>
    <xf numFmtId="0" fontId="0" fillId="49" borderId="1" xfId="0" applyFill="1" applyBorder="1" applyAlignment="1">
      <alignment horizontal="center" vertical="center"/>
    </xf>
    <xf numFmtId="0" fontId="0" fillId="0" borderId="10" xfId="0" applyBorder="1" applyAlignment="1"/>
    <xf numFmtId="0" fontId="0" fillId="0" borderId="1" xfId="0" applyBorder="1"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1" xfId="0" applyBorder="1" applyAlignment="1">
      <alignment horizontal="left" vertical="center" wrapText="1"/>
    </xf>
    <xf numFmtId="0" fontId="0" fillId="0" borderId="3" xfId="0" applyBorder="1" applyAlignment="1">
      <alignment horizontal="left" vertical="center" wrapText="1"/>
    </xf>
    <xf numFmtId="0" fontId="0" fillId="0" borderId="12" xfId="0" applyBorder="1" applyAlignment="1">
      <alignment horizontal="left" vertical="center" wrapText="1"/>
    </xf>
    <xf numFmtId="0" fontId="0" fillId="0" borderId="5" xfId="0" applyBorder="1" applyAlignment="1">
      <alignment horizontal="left" vertical="center" wrapText="1"/>
    </xf>
    <xf numFmtId="177" fontId="6" fillId="2" borderId="1" xfId="0" applyNumberFormat="1" applyFont="1" applyFill="1" applyBorder="1" applyAlignment="1">
      <alignment horizontal="center" vertical="center" wrapText="1"/>
    </xf>
    <xf numFmtId="0" fontId="0" fillId="0" borderId="1" xfId="0" applyBorder="1" applyAlignment="1">
      <alignment vertical="center"/>
    </xf>
    <xf numFmtId="0" fontId="0" fillId="0" borderId="1" xfId="0" applyBorder="1" applyAlignment="1">
      <alignment horizontal="center" vertical="center"/>
    </xf>
    <xf numFmtId="0" fontId="0" fillId="0" borderId="1" xfId="0" applyFill="1" applyBorder="1" applyAlignment="1">
      <alignment horizontal="center" vertical="center"/>
    </xf>
    <xf numFmtId="176" fontId="10" fillId="2" borderId="0" xfId="0" applyNumberFormat="1" applyFont="1" applyFill="1" applyAlignment="1">
      <alignment horizontal="center" vertical="center" wrapText="1"/>
    </xf>
    <xf numFmtId="0" fontId="10" fillId="2" borderId="0" xfId="0" applyFont="1" applyFill="1" applyAlignment="1">
      <alignment horizontal="center" vertical="center"/>
    </xf>
    <xf numFmtId="176" fontId="11" fillId="0" borderId="0" xfId="0" applyNumberFormat="1" applyFont="1" applyAlignment="1">
      <alignment horizontal="left" vertical="center" wrapText="1"/>
    </xf>
    <xf numFmtId="0" fontId="0" fillId="0" borderId="0" xfId="0" applyAlignment="1">
      <alignment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176" fontId="0" fillId="0" borderId="8" xfId="0" applyNumberFormat="1" applyBorder="1" applyAlignment="1">
      <alignment vertical="center" wrapText="1"/>
    </xf>
    <xf numFmtId="0" fontId="0" fillId="0" borderId="13" xfId="0" applyBorder="1" applyAlignment="1">
      <alignment vertical="center"/>
    </xf>
    <xf numFmtId="0" fontId="0" fillId="0" borderId="11" xfId="0" applyBorder="1" applyAlignment="1">
      <alignment vertical="center"/>
    </xf>
    <xf numFmtId="0" fontId="0" fillId="0" borderId="0" xfId="0" applyBorder="1" applyAlignment="1">
      <alignment vertical="center"/>
    </xf>
    <xf numFmtId="0" fontId="0" fillId="0" borderId="12" xfId="0" applyBorder="1" applyAlignment="1">
      <alignment vertical="center"/>
    </xf>
    <xf numFmtId="0" fontId="0" fillId="0" borderId="4" xfId="0" applyBorder="1" applyAlignment="1">
      <alignment vertical="center"/>
    </xf>
    <xf numFmtId="0" fontId="5" fillId="0" borderId="8" xfId="0" applyFont="1" applyBorder="1" applyAlignment="1">
      <alignment horizontal="left" vertical="center"/>
    </xf>
    <xf numFmtId="0" fontId="0" fillId="0" borderId="9" xfId="0" applyBorder="1">
      <alignment vertical="center"/>
    </xf>
    <xf numFmtId="0" fontId="5" fillId="0" borderId="11" xfId="0" applyFont="1" applyBorder="1" applyAlignment="1">
      <alignment horizontal="left" vertical="center"/>
    </xf>
    <xf numFmtId="0" fontId="0" fillId="0" borderId="3" xfId="0" applyBorder="1" applyAlignment="1">
      <alignment vertical="center"/>
    </xf>
    <xf numFmtId="0" fontId="5" fillId="0" borderId="12" xfId="0" applyFont="1" applyBorder="1" applyAlignment="1">
      <alignment horizontal="left" vertical="center"/>
    </xf>
    <xf numFmtId="0" fontId="0" fillId="0" borderId="5" xfId="0" applyBorder="1" applyAlignment="1">
      <alignment horizontal="left" vertical="center"/>
    </xf>
    <xf numFmtId="0" fontId="0" fillId="2" borderId="1" xfId="0" applyFill="1" applyBorder="1" applyAlignment="1">
      <alignment horizontal="left" vertical="center"/>
    </xf>
    <xf numFmtId="0" fontId="0" fillId="2" borderId="1" xfId="0" applyFill="1" applyBorder="1" applyAlignment="1">
      <alignment horizontal="center" vertical="center" wrapText="1"/>
    </xf>
    <xf numFmtId="0" fontId="0" fillId="51" borderId="8" xfId="0" applyFill="1" applyBorder="1" applyAlignment="1">
      <alignment vertical="center" wrapText="1"/>
    </xf>
    <xf numFmtId="0" fontId="0" fillId="51" borderId="13" xfId="0" applyFill="1" applyBorder="1" applyAlignment="1">
      <alignment vertical="center" wrapText="1"/>
    </xf>
    <xf numFmtId="0" fontId="0" fillId="51" borderId="9" xfId="0" applyFill="1" applyBorder="1" applyAlignment="1">
      <alignment vertical="center" wrapText="1"/>
    </xf>
    <xf numFmtId="0" fontId="0" fillId="51" borderId="11" xfId="0" applyFill="1" applyBorder="1" applyAlignment="1">
      <alignment vertical="center" wrapText="1"/>
    </xf>
    <xf numFmtId="0" fontId="0" fillId="51" borderId="0" xfId="0" applyFill="1" applyAlignment="1">
      <alignment vertical="center" wrapText="1"/>
    </xf>
    <xf numFmtId="0" fontId="0" fillId="51" borderId="3" xfId="0" applyFill="1" applyBorder="1" applyAlignment="1">
      <alignment vertical="center" wrapText="1"/>
    </xf>
    <xf numFmtId="0" fontId="0" fillId="51" borderId="12" xfId="0" applyFill="1" applyBorder="1" applyAlignment="1">
      <alignment vertical="center" wrapText="1"/>
    </xf>
    <xf numFmtId="0" fontId="0" fillId="51" borderId="4" xfId="0" applyFill="1" applyBorder="1" applyAlignment="1">
      <alignment vertical="center" wrapText="1"/>
    </xf>
    <xf numFmtId="0" fontId="0" fillId="51" borderId="5" xfId="0" applyFill="1" applyBorder="1" applyAlignment="1">
      <alignment vertical="center" wrapText="1"/>
    </xf>
    <xf numFmtId="0" fontId="0" fillId="50" borderId="0" xfId="0" applyFill="1" applyBorder="1" applyAlignment="1">
      <alignment horizontal="center" vertical="center"/>
    </xf>
    <xf numFmtId="0" fontId="0" fillId="50" borderId="4" xfId="0" applyFill="1" applyBorder="1" applyAlignment="1">
      <alignment horizontal="center" vertical="center"/>
    </xf>
    <xf numFmtId="0" fontId="0" fillId="50" borderId="3" xfId="0" applyFill="1" applyBorder="1" applyAlignment="1">
      <alignment horizontal="center" vertical="center"/>
    </xf>
    <xf numFmtId="0" fontId="0" fillId="50" borderId="5" xfId="0" applyFill="1" applyBorder="1" applyAlignment="1">
      <alignment horizontal="center" vertical="center"/>
    </xf>
    <xf numFmtId="0" fontId="7" fillId="2" borderId="15" xfId="0" applyFont="1" applyFill="1" applyBorder="1" applyAlignment="1">
      <alignment vertical="center"/>
    </xf>
    <xf numFmtId="0" fontId="7" fillId="2" borderId="10" xfId="0" applyFont="1" applyFill="1" applyBorder="1" applyAlignment="1">
      <alignment vertical="center"/>
    </xf>
    <xf numFmtId="0" fontId="0" fillId="50" borderId="13" xfId="0" applyFill="1" applyBorder="1" applyAlignment="1">
      <alignment horizontal="center" vertical="center"/>
    </xf>
    <xf numFmtId="0" fontId="0" fillId="50" borderId="4" xfId="0" applyFill="1" applyBorder="1" applyAlignment="1">
      <alignment vertical="center"/>
    </xf>
    <xf numFmtId="0" fontId="0" fillId="50" borderId="9" xfId="0" applyFill="1" applyBorder="1" applyAlignment="1">
      <alignment horizontal="center" vertical="center"/>
    </xf>
    <xf numFmtId="0" fontId="0" fillId="50" borderId="5" xfId="0" applyFill="1" applyBorder="1" applyAlignment="1">
      <alignment vertical="center"/>
    </xf>
    <xf numFmtId="0" fontId="0" fillId="49" borderId="8" xfId="0" applyFill="1" applyBorder="1" applyAlignment="1">
      <alignment horizontal="center" vertical="center"/>
    </xf>
    <xf numFmtId="0" fontId="0" fillId="49" borderId="12" xfId="0" applyFill="1" applyBorder="1" applyAlignment="1">
      <alignment horizontal="center" vertical="center"/>
    </xf>
    <xf numFmtId="0" fontId="0" fillId="50" borderId="11" xfId="0" applyFill="1" applyBorder="1" applyAlignment="1">
      <alignment horizontal="center" vertical="center"/>
    </xf>
    <xf numFmtId="0" fontId="0" fillId="50" borderId="12" xfId="0" applyFill="1" applyBorder="1" applyAlignment="1">
      <alignment horizontal="center" vertical="center"/>
    </xf>
    <xf numFmtId="0" fontId="0" fillId="50" borderId="8" xfId="0" applyFill="1" applyBorder="1" applyAlignment="1">
      <alignment horizontal="center" vertical="center"/>
    </xf>
    <xf numFmtId="0" fontId="0" fillId="50" borderId="12" xfId="0" applyFill="1" applyBorder="1" applyAlignment="1">
      <alignment vertical="center"/>
    </xf>
  </cellXfs>
  <cellStyles count="1">
    <cellStyle name="一般" xfId="0" builtinId="0"/>
  </cellStyles>
  <dxfs count="0"/>
  <tableStyles count="0" defaultTableStyle="TableStyleMedium2" defaultPivotStyle="PivotStyleLight16"/>
  <colors>
    <mruColors>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002060"/>
              </a:solidFill>
              <a:ln w="9525" cap="flat" cmpd="sng" algn="ctr">
                <a:noFill/>
                <a:round/>
              </a:ln>
              <a:effectLst/>
            </c:spPr>
          </c:marker>
          <c:xVal>
            <c:numRef>
              <c:f>'2.gammaSimulator'!$Q$35:$Q$291</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'2.gammaSimulator'!$R$35:$R$291</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FF94-450B-BA74-D78FA3A55F4A}"/>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'2.gammaSimulator'!$M$35:$M$291</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'2.gammaSimulator'!$N$35:$N$291</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2F45-4469-9B40-2AE5E878152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22</xdr:col>
      <xdr:colOff>0</xdr:colOff>
      <xdr:row>5</xdr:row>
      <xdr:rowOff>190500</xdr:rowOff>
    </xdr:from>
    <xdr:to>
      <xdr:col>28</xdr:col>
      <xdr:colOff>3048</xdr:colOff>
      <xdr:row>31</xdr:row>
      <xdr:rowOff>10668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5</xdr:row>
      <xdr:rowOff>190500</xdr:rowOff>
    </xdr:from>
    <xdr:to>
      <xdr:col>22</xdr:col>
      <xdr:colOff>0</xdr:colOff>
      <xdr:row>31</xdr:row>
      <xdr:rowOff>10668</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18</xdr:col>
          <xdr:colOff>628650</xdr:colOff>
          <xdr:row>32</xdr:row>
          <xdr:rowOff>0</xdr:rowOff>
        </xdr:from>
        <xdr:to>
          <xdr:col>19</xdr:col>
          <xdr:colOff>209550</xdr:colOff>
          <xdr:row>33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42C5E-4818-4B68-AA8B-E7DFBA64422D}">
  <sheetPr codeName="工作表1"/>
  <dimension ref="A2:BC80"/>
  <sheetViews>
    <sheetView tabSelected="1" zoomScale="80" zoomScaleNormal="80" workbookViewId="0">
      <selection activeCell="B2" sqref="B2:R8"/>
    </sheetView>
  </sheetViews>
  <sheetFormatPr defaultRowHeight="16.5" x14ac:dyDescent="0.25"/>
  <cols>
    <col min="1" max="1" width="3.375" customWidth="1"/>
    <col min="6" max="6" width="9.625" bestFit="1" customWidth="1"/>
    <col min="19" max="19" width="3.375" customWidth="1"/>
    <col min="37" max="38" width="9" customWidth="1"/>
  </cols>
  <sheetData>
    <row r="2" spans="2:55" x14ac:dyDescent="0.25">
      <c r="B2" s="162" t="s">
        <v>52</v>
      </c>
      <c r="C2" s="163"/>
      <c r="D2" s="163"/>
      <c r="E2" s="163"/>
      <c r="F2" s="163"/>
      <c r="G2" s="163"/>
      <c r="H2" s="163"/>
      <c r="I2" s="163"/>
      <c r="J2" s="163"/>
      <c r="K2" s="163"/>
      <c r="L2" s="163"/>
      <c r="M2" s="163"/>
      <c r="N2" s="163"/>
      <c r="O2" s="163"/>
      <c r="P2" s="163"/>
      <c r="Q2" s="163"/>
      <c r="R2" s="163"/>
      <c r="T2" s="164" t="s">
        <v>54</v>
      </c>
      <c r="U2" s="164"/>
      <c r="V2" s="164"/>
      <c r="W2" s="164"/>
      <c r="X2" s="164"/>
      <c r="Y2" s="164"/>
      <c r="Z2" s="164"/>
      <c r="AA2" s="164"/>
      <c r="AB2" s="164"/>
      <c r="AC2" s="164"/>
      <c r="AD2" s="164"/>
      <c r="AE2" s="164"/>
      <c r="AF2" s="164"/>
      <c r="AG2" s="164"/>
      <c r="AH2" s="164"/>
      <c r="AI2" s="164"/>
      <c r="AJ2" s="164"/>
    </row>
    <row r="3" spans="2:55" ht="16.5" customHeight="1" x14ac:dyDescent="0.25">
      <c r="B3" s="163"/>
      <c r="C3" s="163"/>
      <c r="D3" s="163"/>
      <c r="E3" s="163"/>
      <c r="F3" s="163"/>
      <c r="G3" s="163"/>
      <c r="H3" s="163"/>
      <c r="I3" s="163"/>
      <c r="J3" s="163"/>
      <c r="K3" s="163"/>
      <c r="L3" s="163"/>
      <c r="M3" s="163"/>
      <c r="N3" s="163"/>
      <c r="O3" s="163"/>
      <c r="P3" s="163"/>
      <c r="Q3" s="163"/>
      <c r="R3" s="163"/>
      <c r="T3" s="174" t="s">
        <v>26</v>
      </c>
      <c r="U3" s="122" t="s">
        <v>0</v>
      </c>
      <c r="V3" s="140">
        <v>2</v>
      </c>
      <c r="W3" s="140">
        <v>5</v>
      </c>
      <c r="X3" s="140">
        <v>10</v>
      </c>
      <c r="Y3" s="140">
        <v>20</v>
      </c>
      <c r="Z3" s="140">
        <v>50</v>
      </c>
      <c r="AA3" s="140">
        <v>100</v>
      </c>
      <c r="AB3" s="140">
        <v>200</v>
      </c>
      <c r="AC3" s="140">
        <v>300</v>
      </c>
      <c r="AD3" s="140">
        <v>400</v>
      </c>
      <c r="AE3" s="140">
        <v>500</v>
      </c>
      <c r="AF3" s="140">
        <v>600</v>
      </c>
      <c r="AG3" s="140">
        <v>700</v>
      </c>
      <c r="AH3" s="140">
        <v>800</v>
      </c>
      <c r="AI3" s="140">
        <v>900</v>
      </c>
      <c r="AJ3" s="140">
        <v>1000</v>
      </c>
    </row>
    <row r="4" spans="2:55" ht="16.5" customHeight="1" x14ac:dyDescent="0.25">
      <c r="B4" s="163"/>
      <c r="C4" s="163"/>
      <c r="D4" s="163"/>
      <c r="E4" s="163"/>
      <c r="F4" s="163"/>
      <c r="G4" s="163"/>
      <c r="H4" s="163"/>
      <c r="I4" s="163"/>
      <c r="J4" s="163"/>
      <c r="K4" s="163"/>
      <c r="L4" s="163"/>
      <c r="M4" s="163"/>
      <c r="N4" s="163"/>
      <c r="O4" s="163"/>
      <c r="P4" s="163"/>
      <c r="Q4" s="163"/>
      <c r="R4" s="163"/>
      <c r="T4" s="174"/>
      <c r="U4" s="140" t="s">
        <v>31</v>
      </c>
      <c r="V4" s="140">
        <v>399</v>
      </c>
      <c r="W4" s="140">
        <v>377</v>
      </c>
      <c r="X4" s="140">
        <v>355</v>
      </c>
      <c r="Y4" s="140">
        <v>340</v>
      </c>
      <c r="Z4" s="140">
        <v>303</v>
      </c>
      <c r="AA4" s="140">
        <v>278</v>
      </c>
      <c r="AB4" s="140">
        <v>255</v>
      </c>
      <c r="AC4" s="140">
        <v>241</v>
      </c>
      <c r="AD4" s="140">
        <v>231</v>
      </c>
      <c r="AE4" s="140">
        <v>224</v>
      </c>
      <c r="AF4" s="140">
        <v>215</v>
      </c>
      <c r="AG4" s="140">
        <v>211</v>
      </c>
      <c r="AH4" s="140">
        <v>206</v>
      </c>
      <c r="AI4" s="140">
        <v>203</v>
      </c>
      <c r="AJ4" s="140">
        <v>199</v>
      </c>
    </row>
    <row r="5" spans="2:55" ht="16.5" customHeight="1" x14ac:dyDescent="0.25">
      <c r="B5" s="163"/>
      <c r="C5" s="163"/>
      <c r="D5" s="163"/>
      <c r="E5" s="163"/>
      <c r="F5" s="163"/>
      <c r="G5" s="163"/>
      <c r="H5" s="163"/>
      <c r="I5" s="163"/>
      <c r="J5" s="163"/>
      <c r="K5" s="163"/>
      <c r="L5" s="163"/>
      <c r="M5" s="163"/>
      <c r="N5" s="163"/>
      <c r="O5" s="163"/>
      <c r="P5" s="163"/>
      <c r="Q5" s="163"/>
      <c r="R5" s="163"/>
      <c r="T5" s="168" t="s">
        <v>3</v>
      </c>
      <c r="U5" s="140">
        <v>1</v>
      </c>
      <c r="V5" s="150">
        <f>V12-D12</f>
        <v>0</v>
      </c>
      <c r="W5" s="150">
        <f t="shared" ref="W5:AJ5" si="0">W12-E12</f>
        <v>0</v>
      </c>
      <c r="X5" s="150">
        <f t="shared" si="0"/>
        <v>0</v>
      </c>
      <c r="Y5" s="150">
        <f t="shared" si="0"/>
        <v>0</v>
      </c>
      <c r="Z5" s="150">
        <f t="shared" si="0"/>
        <v>0</v>
      </c>
      <c r="AA5" s="150">
        <f t="shared" si="0"/>
        <v>0</v>
      </c>
      <c r="AB5" s="150">
        <f t="shared" si="0"/>
        <v>0</v>
      </c>
      <c r="AC5" s="150">
        <f t="shared" si="0"/>
        <v>0</v>
      </c>
      <c r="AD5" s="150">
        <f t="shared" si="0"/>
        <v>0</v>
      </c>
      <c r="AE5" s="150">
        <f t="shared" si="0"/>
        <v>0</v>
      </c>
      <c r="AF5" s="150">
        <f t="shared" si="0"/>
        <v>0</v>
      </c>
      <c r="AG5" s="150">
        <f t="shared" si="0"/>
        <v>0</v>
      </c>
      <c r="AH5" s="150">
        <f t="shared" si="0"/>
        <v>0</v>
      </c>
      <c r="AI5" s="150">
        <f t="shared" si="0"/>
        <v>0</v>
      </c>
      <c r="AJ5" s="146">
        <f t="shared" si="0"/>
        <v>0</v>
      </c>
    </row>
    <row r="6" spans="2:55" ht="16.5" customHeight="1" x14ac:dyDescent="0.25">
      <c r="B6" s="163"/>
      <c r="C6" s="163"/>
      <c r="D6" s="163"/>
      <c r="E6" s="163"/>
      <c r="F6" s="163"/>
      <c r="G6" s="163"/>
      <c r="H6" s="163"/>
      <c r="I6" s="163"/>
      <c r="J6" s="163"/>
      <c r="K6" s="163"/>
      <c r="L6" s="163"/>
      <c r="M6" s="163"/>
      <c r="N6" s="163"/>
      <c r="O6" s="163"/>
      <c r="P6" s="163"/>
      <c r="Q6" s="163"/>
      <c r="R6" s="163"/>
      <c r="T6" s="169"/>
      <c r="U6" s="140">
        <v>2</v>
      </c>
      <c r="V6" s="151">
        <f>V13-D13</f>
        <v>0</v>
      </c>
      <c r="W6" s="151">
        <f t="shared" ref="W6:AJ6" si="1">W13-E13</f>
        <v>0</v>
      </c>
      <c r="X6" s="151">
        <f t="shared" si="1"/>
        <v>0</v>
      </c>
      <c r="Y6" s="151">
        <f t="shared" si="1"/>
        <v>0</v>
      </c>
      <c r="Z6" s="151">
        <f t="shared" si="1"/>
        <v>0</v>
      </c>
      <c r="AA6" s="151">
        <f t="shared" si="1"/>
        <v>0</v>
      </c>
      <c r="AB6" s="151">
        <f t="shared" si="1"/>
        <v>0</v>
      </c>
      <c r="AC6" s="151">
        <f t="shared" si="1"/>
        <v>0</v>
      </c>
      <c r="AD6" s="151">
        <f t="shared" si="1"/>
        <v>0</v>
      </c>
      <c r="AE6" s="151">
        <f t="shared" si="1"/>
        <v>0</v>
      </c>
      <c r="AF6" s="151">
        <f t="shared" si="1"/>
        <v>0</v>
      </c>
      <c r="AG6" s="151">
        <f t="shared" si="1"/>
        <v>0</v>
      </c>
      <c r="AH6" s="151">
        <f t="shared" si="1"/>
        <v>0</v>
      </c>
      <c r="AI6" s="151">
        <f t="shared" si="1"/>
        <v>0</v>
      </c>
      <c r="AJ6" s="152">
        <f t="shared" si="1"/>
        <v>0</v>
      </c>
    </row>
    <row r="7" spans="2:55" ht="16.5" customHeight="1" x14ac:dyDescent="0.25">
      <c r="B7" s="163"/>
      <c r="C7" s="163"/>
      <c r="D7" s="163"/>
      <c r="E7" s="163"/>
      <c r="F7" s="163"/>
      <c r="G7" s="163"/>
      <c r="H7" s="163"/>
      <c r="I7" s="163"/>
      <c r="J7" s="163"/>
      <c r="K7" s="163"/>
      <c r="L7" s="163"/>
      <c r="M7" s="163"/>
      <c r="N7" s="163"/>
      <c r="O7" s="163"/>
      <c r="P7" s="163"/>
      <c r="Q7" s="163"/>
      <c r="R7" s="163"/>
      <c r="T7" s="169"/>
      <c r="U7" s="140">
        <v>3</v>
      </c>
      <c r="V7" s="144">
        <f>V14-D14</f>
        <v>0</v>
      </c>
      <c r="W7" s="144">
        <f t="shared" ref="W7:AJ8" si="2">W14-E14</f>
        <v>0</v>
      </c>
      <c r="X7" s="144">
        <f t="shared" si="2"/>
        <v>0</v>
      </c>
      <c r="Y7" s="144">
        <f t="shared" si="2"/>
        <v>0</v>
      </c>
      <c r="Z7" s="144">
        <f t="shared" si="2"/>
        <v>0</v>
      </c>
      <c r="AA7" s="144">
        <f t="shared" si="2"/>
        <v>0</v>
      </c>
      <c r="AB7" s="144">
        <f t="shared" si="2"/>
        <v>0</v>
      </c>
      <c r="AC7" s="144">
        <f t="shared" si="2"/>
        <v>0</v>
      </c>
      <c r="AD7" s="144">
        <f t="shared" si="2"/>
        <v>0</v>
      </c>
      <c r="AE7" s="144">
        <f t="shared" si="2"/>
        <v>0</v>
      </c>
      <c r="AF7" s="144">
        <f t="shared" si="2"/>
        <v>0</v>
      </c>
      <c r="AG7" s="144">
        <f t="shared" si="2"/>
        <v>0</v>
      </c>
      <c r="AH7" s="144">
        <f t="shared" si="2"/>
        <v>0</v>
      </c>
      <c r="AI7" s="144">
        <f t="shared" si="2"/>
        <v>0</v>
      </c>
      <c r="AJ7" s="142">
        <f t="shared" si="2"/>
        <v>0</v>
      </c>
    </row>
    <row r="8" spans="2:55" ht="16.5" customHeight="1" x14ac:dyDescent="0.25">
      <c r="B8" s="163"/>
      <c r="C8" s="163"/>
      <c r="D8" s="163"/>
      <c r="E8" s="163"/>
      <c r="F8" s="163"/>
      <c r="G8" s="163"/>
      <c r="H8" s="163"/>
      <c r="I8" s="163"/>
      <c r="J8" s="163"/>
      <c r="K8" s="163"/>
      <c r="L8" s="163"/>
      <c r="M8" s="163"/>
      <c r="N8" s="163"/>
      <c r="O8" s="163"/>
      <c r="P8" s="163"/>
      <c r="Q8" s="163"/>
      <c r="R8" s="163"/>
      <c r="T8" s="170"/>
      <c r="U8" s="140">
        <v>4</v>
      </c>
      <c r="V8" s="145">
        <f>V15-D15</f>
        <v>0</v>
      </c>
      <c r="W8" s="145">
        <f t="shared" si="2"/>
        <v>0</v>
      </c>
      <c r="X8" s="145">
        <f t="shared" si="2"/>
        <v>0</v>
      </c>
      <c r="Y8" s="145">
        <f t="shared" si="2"/>
        <v>0</v>
      </c>
      <c r="Z8" s="145">
        <f t="shared" si="2"/>
        <v>0</v>
      </c>
      <c r="AA8" s="145">
        <f t="shared" si="2"/>
        <v>0</v>
      </c>
      <c r="AB8" s="145">
        <f t="shared" si="2"/>
        <v>0</v>
      </c>
      <c r="AC8" s="145">
        <f t="shared" si="2"/>
        <v>0</v>
      </c>
      <c r="AD8" s="145">
        <f t="shared" si="2"/>
        <v>0</v>
      </c>
      <c r="AE8" s="145">
        <f t="shared" si="2"/>
        <v>0</v>
      </c>
      <c r="AF8" s="145">
        <f t="shared" si="2"/>
        <v>0</v>
      </c>
      <c r="AG8" s="145">
        <f t="shared" si="2"/>
        <v>0</v>
      </c>
      <c r="AH8" s="145">
        <f t="shared" si="2"/>
        <v>0</v>
      </c>
      <c r="AI8" s="145">
        <f t="shared" si="2"/>
        <v>0</v>
      </c>
      <c r="AJ8" s="143">
        <f t="shared" si="2"/>
        <v>0</v>
      </c>
    </row>
    <row r="10" spans="2:55" x14ac:dyDescent="0.25">
      <c r="B10" s="173" t="s">
        <v>28</v>
      </c>
      <c r="C10" s="173"/>
      <c r="D10" s="173"/>
      <c r="E10" s="173"/>
      <c r="F10" s="173"/>
      <c r="G10" s="173"/>
      <c r="H10" s="173"/>
      <c r="I10" s="173"/>
      <c r="J10" s="173"/>
      <c r="K10" s="173"/>
      <c r="L10" s="173"/>
      <c r="M10" s="173"/>
      <c r="N10" s="173"/>
      <c r="O10" s="173"/>
      <c r="P10" s="173"/>
      <c r="Q10" s="173"/>
      <c r="R10" s="173"/>
      <c r="T10" s="173" t="s">
        <v>29</v>
      </c>
      <c r="U10" s="173"/>
      <c r="V10" s="173"/>
      <c r="W10" s="173"/>
      <c r="X10" s="173"/>
      <c r="Y10" s="173"/>
      <c r="Z10" s="173"/>
      <c r="AA10" s="173"/>
      <c r="AB10" s="173"/>
      <c r="AC10" s="173"/>
      <c r="AD10" s="173"/>
      <c r="AE10" s="173"/>
      <c r="AF10" s="173"/>
      <c r="AG10" s="173"/>
      <c r="AH10" s="173"/>
      <c r="AI10" s="173"/>
      <c r="AJ10" s="173"/>
    </row>
    <row r="11" spans="2:55" x14ac:dyDescent="0.25">
      <c r="B11" s="34" t="s">
        <v>1</v>
      </c>
      <c r="C11" s="40" t="s">
        <v>0</v>
      </c>
      <c r="D11" s="131">
        <v>2</v>
      </c>
      <c r="E11" s="131">
        <v>5</v>
      </c>
      <c r="F11" s="131">
        <v>10</v>
      </c>
      <c r="G11" s="64">
        <v>20</v>
      </c>
      <c r="H11" s="131">
        <v>50</v>
      </c>
      <c r="I11" s="131">
        <v>100</v>
      </c>
      <c r="J11" s="131">
        <v>200</v>
      </c>
      <c r="K11" s="131">
        <v>300</v>
      </c>
      <c r="L11" s="131">
        <v>400</v>
      </c>
      <c r="M11" s="131">
        <v>500</v>
      </c>
      <c r="N11" s="131">
        <v>600</v>
      </c>
      <c r="O11" s="131">
        <v>700</v>
      </c>
      <c r="P11" s="131">
        <v>800</v>
      </c>
      <c r="Q11" s="131">
        <v>900</v>
      </c>
      <c r="R11" s="131">
        <v>1000</v>
      </c>
      <c r="S11" s="1"/>
      <c r="T11" s="36" t="s">
        <v>26</v>
      </c>
      <c r="U11" s="40" t="s">
        <v>0</v>
      </c>
      <c r="V11" s="36">
        <v>2</v>
      </c>
      <c r="W11" s="36">
        <v>5</v>
      </c>
      <c r="X11" s="36">
        <v>10</v>
      </c>
      <c r="Y11" s="41">
        <v>20</v>
      </c>
      <c r="Z11" s="36">
        <v>50</v>
      </c>
      <c r="AA11" s="36">
        <v>100</v>
      </c>
      <c r="AB11" s="36">
        <v>200</v>
      </c>
      <c r="AC11" s="36">
        <v>300</v>
      </c>
      <c r="AD11" s="36">
        <v>400</v>
      </c>
      <c r="AE11" s="36">
        <v>500</v>
      </c>
      <c r="AF11" s="36">
        <v>600</v>
      </c>
      <c r="AG11" s="36">
        <v>700</v>
      </c>
      <c r="AH11" s="36">
        <v>800</v>
      </c>
      <c r="AI11" s="36">
        <v>900</v>
      </c>
      <c r="AJ11" s="36">
        <v>1000</v>
      </c>
    </row>
    <row r="12" spans="2:55" x14ac:dyDescent="0.25">
      <c r="B12" s="165" t="s">
        <v>3</v>
      </c>
      <c r="C12" s="63">
        <v>1</v>
      </c>
      <c r="D12" s="57"/>
      <c r="E12" s="110"/>
      <c r="F12" s="110"/>
      <c r="G12" s="110"/>
      <c r="H12" s="110"/>
      <c r="I12" s="110"/>
      <c r="J12" s="110"/>
      <c r="K12" s="110"/>
      <c r="L12" s="110"/>
      <c r="M12" s="110"/>
      <c r="N12" s="110"/>
      <c r="O12" s="110"/>
      <c r="P12" s="110"/>
      <c r="Q12" s="110"/>
      <c r="R12" s="112"/>
      <c r="S12" s="1"/>
      <c r="T12" s="165" t="s">
        <v>3</v>
      </c>
      <c r="U12" s="43">
        <v>1</v>
      </c>
      <c r="V12" s="57"/>
      <c r="W12" s="38"/>
      <c r="X12" s="58"/>
      <c r="Y12" s="38"/>
      <c r="Z12" s="58"/>
      <c r="AA12" s="38"/>
      <c r="AB12" s="58"/>
      <c r="AC12" s="58"/>
      <c r="AD12" s="58"/>
      <c r="AE12" s="58"/>
      <c r="AF12" s="58"/>
      <c r="AG12" s="58"/>
      <c r="AH12" s="58"/>
      <c r="AI12" s="58"/>
      <c r="AJ12" s="52"/>
      <c r="BC12" s="114"/>
    </row>
    <row r="13" spans="2:55" x14ac:dyDescent="0.25">
      <c r="B13" s="166"/>
      <c r="C13" s="40">
        <v>2</v>
      </c>
      <c r="D13" s="118"/>
      <c r="E13" s="132"/>
      <c r="F13" s="132"/>
      <c r="G13" s="132"/>
      <c r="H13" s="132"/>
      <c r="I13" s="132"/>
      <c r="J13" s="132"/>
      <c r="K13" s="132"/>
      <c r="L13" s="132"/>
      <c r="M13" s="132"/>
      <c r="N13" s="132"/>
      <c r="O13" s="132"/>
      <c r="P13" s="132"/>
      <c r="Q13" s="132"/>
      <c r="R13" s="108"/>
      <c r="S13" s="1"/>
      <c r="T13" s="166"/>
      <c r="U13" s="36">
        <v>2</v>
      </c>
      <c r="V13" s="60"/>
      <c r="W13" s="38"/>
      <c r="X13" s="39"/>
      <c r="Y13" s="38"/>
      <c r="Z13" s="39"/>
      <c r="AA13" s="38"/>
      <c r="AB13" s="39"/>
      <c r="AC13" s="39"/>
      <c r="AD13" s="39"/>
      <c r="AE13" s="39"/>
      <c r="AF13" s="39"/>
      <c r="AG13" s="39"/>
      <c r="AH13" s="39"/>
      <c r="AI13" s="39"/>
      <c r="AJ13" s="53"/>
      <c r="BC13" s="114"/>
    </row>
    <row r="14" spans="2:55" x14ac:dyDescent="0.25">
      <c r="B14" s="166"/>
      <c r="C14" s="40">
        <v>3</v>
      </c>
      <c r="D14" s="118"/>
      <c r="E14" s="132"/>
      <c r="F14" s="132"/>
      <c r="G14" s="132"/>
      <c r="H14" s="132"/>
      <c r="I14" s="132"/>
      <c r="J14" s="132"/>
      <c r="K14" s="132"/>
      <c r="L14" s="132"/>
      <c r="M14" s="132"/>
      <c r="N14" s="132"/>
      <c r="O14" s="132"/>
      <c r="P14" s="132"/>
      <c r="Q14" s="132"/>
      <c r="R14" s="108"/>
      <c r="S14" s="1"/>
      <c r="T14" s="166"/>
      <c r="U14" s="36">
        <v>3</v>
      </c>
      <c r="V14" s="60"/>
      <c r="W14" s="38"/>
      <c r="X14" s="39"/>
      <c r="Y14" s="38"/>
      <c r="Z14" s="39"/>
      <c r="AA14" s="38"/>
      <c r="AB14" s="39"/>
      <c r="AC14" s="39"/>
      <c r="AD14" s="39"/>
      <c r="AE14" s="39"/>
      <c r="AF14" s="39"/>
      <c r="AG14" s="39"/>
      <c r="AH14" s="39"/>
      <c r="AI14" s="39"/>
      <c r="AJ14" s="53"/>
      <c r="BC14" s="114"/>
    </row>
    <row r="15" spans="2:55" x14ac:dyDescent="0.25">
      <c r="B15" s="167"/>
      <c r="C15" s="40">
        <v>4</v>
      </c>
      <c r="D15" s="118"/>
      <c r="E15" s="132"/>
      <c r="F15" s="132"/>
      <c r="G15" s="132"/>
      <c r="H15" s="132"/>
      <c r="I15" s="132"/>
      <c r="J15" s="132"/>
      <c r="K15" s="132"/>
      <c r="L15" s="132"/>
      <c r="M15" s="132"/>
      <c r="N15" s="132"/>
      <c r="O15" s="132"/>
      <c r="P15" s="132"/>
      <c r="Q15" s="132"/>
      <c r="R15" s="108"/>
      <c r="S15" s="1"/>
      <c r="T15" s="167"/>
      <c r="U15" s="36">
        <v>4</v>
      </c>
      <c r="V15" s="60"/>
      <c r="W15" s="38"/>
      <c r="X15" s="39"/>
      <c r="Y15" s="38"/>
      <c r="Z15" s="39"/>
      <c r="AA15" s="38"/>
      <c r="AB15" s="39"/>
      <c r="AC15" s="39"/>
      <c r="AD15" s="39"/>
      <c r="AE15" s="39"/>
      <c r="AF15" s="39"/>
      <c r="AG15" s="39"/>
      <c r="AH15" s="39"/>
      <c r="AI15" s="39"/>
      <c r="AJ15" s="53"/>
      <c r="BC15" s="114"/>
    </row>
    <row r="16" spans="2:55" x14ac:dyDescent="0.25">
      <c r="B16" s="165" t="s">
        <v>4</v>
      </c>
      <c r="C16" s="40">
        <v>5</v>
      </c>
      <c r="D16" s="118"/>
      <c r="E16" s="132"/>
      <c r="F16" s="132"/>
      <c r="G16" s="132"/>
      <c r="H16" s="132"/>
      <c r="I16" s="132"/>
      <c r="J16" s="132"/>
      <c r="K16" s="132"/>
      <c r="L16" s="132"/>
      <c r="M16" s="132"/>
      <c r="N16" s="132"/>
      <c r="O16" s="132"/>
      <c r="P16" s="132"/>
      <c r="Q16" s="132"/>
      <c r="R16" s="108"/>
      <c r="S16" s="1"/>
      <c r="T16" s="165" t="s">
        <v>4</v>
      </c>
      <c r="U16" s="36">
        <v>5</v>
      </c>
      <c r="V16" s="60"/>
      <c r="W16" s="38"/>
      <c r="X16" s="39"/>
      <c r="Y16" s="38"/>
      <c r="Z16" s="39"/>
      <c r="AA16" s="38"/>
      <c r="AB16" s="39"/>
      <c r="AC16" s="39"/>
      <c r="AD16" s="39"/>
      <c r="AE16" s="39"/>
      <c r="AF16" s="39"/>
      <c r="AG16" s="39"/>
      <c r="AH16" s="39"/>
      <c r="AI16" s="39"/>
      <c r="AJ16" s="53"/>
      <c r="BC16" s="114"/>
    </row>
    <row r="17" spans="1:55" x14ac:dyDescent="0.25">
      <c r="B17" s="166"/>
      <c r="C17" s="40">
        <v>6</v>
      </c>
      <c r="D17" s="118"/>
      <c r="E17" s="132"/>
      <c r="F17" s="132"/>
      <c r="G17" s="132"/>
      <c r="H17" s="132"/>
      <c r="I17" s="132"/>
      <c r="J17" s="132"/>
      <c r="K17" s="132"/>
      <c r="L17" s="132"/>
      <c r="M17" s="132"/>
      <c r="N17" s="132"/>
      <c r="O17" s="132"/>
      <c r="P17" s="132"/>
      <c r="Q17" s="132"/>
      <c r="R17" s="108"/>
      <c r="S17" s="1"/>
      <c r="T17" s="166"/>
      <c r="U17" s="36">
        <v>6</v>
      </c>
      <c r="V17" s="60"/>
      <c r="W17" s="38"/>
      <c r="X17" s="39"/>
      <c r="Y17" s="38"/>
      <c r="Z17" s="39"/>
      <c r="AA17" s="38"/>
      <c r="AB17" s="39"/>
      <c r="AC17" s="39"/>
      <c r="AD17" s="39"/>
      <c r="AE17" s="39"/>
      <c r="AF17" s="39"/>
      <c r="AG17" s="39"/>
      <c r="AH17" s="39"/>
      <c r="AI17" s="39"/>
      <c r="AJ17" s="53"/>
      <c r="BC17" s="114"/>
    </row>
    <row r="18" spans="1:55" x14ac:dyDescent="0.25">
      <c r="B18" s="166"/>
      <c r="C18" s="40">
        <v>7</v>
      </c>
      <c r="D18" s="118"/>
      <c r="E18" s="132"/>
      <c r="F18" s="132"/>
      <c r="G18" s="132"/>
      <c r="H18" s="132"/>
      <c r="I18" s="132"/>
      <c r="J18" s="132"/>
      <c r="K18" s="132"/>
      <c r="L18" s="132"/>
      <c r="M18" s="132"/>
      <c r="N18" s="132"/>
      <c r="O18" s="132"/>
      <c r="P18" s="132"/>
      <c r="Q18" s="132"/>
      <c r="R18" s="108"/>
      <c r="S18" s="1"/>
      <c r="T18" s="166"/>
      <c r="U18" s="36">
        <v>7</v>
      </c>
      <c r="V18" s="60"/>
      <c r="W18" s="38"/>
      <c r="X18" s="39"/>
      <c r="Y18" s="38"/>
      <c r="Z18" s="39"/>
      <c r="AA18" s="38"/>
      <c r="AB18" s="39"/>
      <c r="AC18" s="39"/>
      <c r="AD18" s="39"/>
      <c r="AE18" s="39"/>
      <c r="AF18" s="39"/>
      <c r="AG18" s="39"/>
      <c r="AH18" s="39"/>
      <c r="AI18" s="39"/>
      <c r="AJ18" s="53"/>
      <c r="BC18" s="114"/>
    </row>
    <row r="19" spans="1:55" x14ac:dyDescent="0.25">
      <c r="B19" s="166"/>
      <c r="C19" s="40">
        <v>8</v>
      </c>
      <c r="D19" s="118"/>
      <c r="E19" s="132"/>
      <c r="F19" s="132"/>
      <c r="G19" s="132"/>
      <c r="H19" s="132"/>
      <c r="I19" s="132"/>
      <c r="J19" s="132"/>
      <c r="K19" s="132"/>
      <c r="L19" s="132"/>
      <c r="M19" s="132"/>
      <c r="N19" s="132"/>
      <c r="O19" s="132"/>
      <c r="P19" s="132"/>
      <c r="Q19" s="132"/>
      <c r="R19" s="108"/>
      <c r="S19" s="1"/>
      <c r="T19" s="166"/>
      <c r="U19" s="36">
        <v>8</v>
      </c>
      <c r="V19" s="60"/>
      <c r="W19" s="38"/>
      <c r="X19" s="39"/>
      <c r="Y19" s="38"/>
      <c r="Z19" s="39"/>
      <c r="AA19" s="38"/>
      <c r="AB19" s="39"/>
      <c r="AC19" s="39"/>
      <c r="AD19" s="39"/>
      <c r="AE19" s="39"/>
      <c r="AF19" s="39"/>
      <c r="AG19" s="39"/>
      <c r="AH19" s="39"/>
      <c r="AI19" s="39"/>
      <c r="AJ19" s="53"/>
      <c r="BC19" s="114"/>
    </row>
    <row r="20" spans="1:55" x14ac:dyDescent="0.25">
      <c r="B20" s="166"/>
      <c r="C20" s="40">
        <v>9</v>
      </c>
      <c r="D20" s="118"/>
      <c r="E20" s="132"/>
      <c r="F20" s="132"/>
      <c r="G20" s="132"/>
      <c r="H20" s="132"/>
      <c r="I20" s="132"/>
      <c r="J20" s="132"/>
      <c r="K20" s="132"/>
      <c r="L20" s="132"/>
      <c r="M20" s="132"/>
      <c r="N20" s="132"/>
      <c r="O20" s="132"/>
      <c r="P20" s="132"/>
      <c r="Q20" s="132"/>
      <c r="R20" s="108"/>
      <c r="S20" s="1"/>
      <c r="T20" s="166"/>
      <c r="U20" s="36">
        <v>9</v>
      </c>
      <c r="V20" s="60"/>
      <c r="W20" s="38"/>
      <c r="X20" s="39"/>
      <c r="Y20" s="38"/>
      <c r="Z20" s="39"/>
      <c r="AA20" s="38"/>
      <c r="AB20" s="39"/>
      <c r="AC20" s="39"/>
      <c r="AD20" s="39"/>
      <c r="AE20" s="39"/>
      <c r="AF20" s="39"/>
      <c r="AG20" s="39"/>
      <c r="AH20" s="39"/>
      <c r="AI20" s="39"/>
      <c r="AJ20" s="53"/>
      <c r="BC20" s="114"/>
    </row>
    <row r="21" spans="1:55" x14ac:dyDescent="0.25">
      <c r="B21" s="166"/>
      <c r="C21" s="40">
        <v>10</v>
      </c>
      <c r="D21" s="118"/>
      <c r="E21" s="132"/>
      <c r="F21" s="132"/>
      <c r="G21" s="132"/>
      <c r="H21" s="132"/>
      <c r="I21" s="132"/>
      <c r="J21" s="132"/>
      <c r="K21" s="132"/>
      <c r="L21" s="132"/>
      <c r="M21" s="132"/>
      <c r="N21" s="132"/>
      <c r="O21" s="132"/>
      <c r="P21" s="132"/>
      <c r="Q21" s="132"/>
      <c r="R21" s="108"/>
      <c r="S21" s="1"/>
      <c r="T21" s="166"/>
      <c r="U21" s="36">
        <v>10</v>
      </c>
      <c r="V21" s="60"/>
      <c r="W21" s="38"/>
      <c r="X21" s="39"/>
      <c r="Y21" s="38"/>
      <c r="Z21" s="39"/>
      <c r="AA21" s="38"/>
      <c r="AB21" s="39"/>
      <c r="AC21" s="39"/>
      <c r="AD21" s="39"/>
      <c r="AE21" s="39"/>
      <c r="AF21" s="39"/>
      <c r="AG21" s="39"/>
      <c r="AH21" s="39"/>
      <c r="AI21" s="39"/>
      <c r="AJ21" s="53"/>
      <c r="BC21" s="114"/>
    </row>
    <row r="22" spans="1:55" x14ac:dyDescent="0.25">
      <c r="B22" s="166"/>
      <c r="C22" s="40">
        <v>11</v>
      </c>
      <c r="D22" s="118"/>
      <c r="E22" s="132"/>
      <c r="F22" s="132"/>
      <c r="G22" s="132"/>
      <c r="H22" s="132"/>
      <c r="I22" s="132"/>
      <c r="J22" s="132"/>
      <c r="K22" s="132"/>
      <c r="L22" s="132"/>
      <c r="M22" s="132"/>
      <c r="N22" s="132"/>
      <c r="O22" s="132"/>
      <c r="P22" s="132"/>
      <c r="Q22" s="132"/>
      <c r="R22" s="108"/>
      <c r="S22" s="1"/>
      <c r="T22" s="166"/>
      <c r="U22" s="36">
        <v>11</v>
      </c>
      <c r="V22" s="60"/>
      <c r="W22" s="38"/>
      <c r="X22" s="39"/>
      <c r="Y22" s="38"/>
      <c r="Z22" s="39"/>
      <c r="AA22" s="38"/>
      <c r="AB22" s="39"/>
      <c r="AC22" s="39"/>
      <c r="AD22" s="39"/>
      <c r="AE22" s="39"/>
      <c r="AF22" s="39"/>
      <c r="AG22" s="39"/>
      <c r="AH22" s="39"/>
      <c r="AI22" s="39"/>
      <c r="AJ22" s="53"/>
      <c r="BC22" s="114"/>
    </row>
    <row r="23" spans="1:55" x14ac:dyDescent="0.25">
      <c r="B23" s="166"/>
      <c r="C23" s="40">
        <v>12</v>
      </c>
      <c r="D23" s="118"/>
      <c r="E23" s="132"/>
      <c r="F23" s="132"/>
      <c r="G23" s="132"/>
      <c r="H23" s="132"/>
      <c r="I23" s="132"/>
      <c r="J23" s="132"/>
      <c r="K23" s="132"/>
      <c r="L23" s="132"/>
      <c r="M23" s="132"/>
      <c r="N23" s="132"/>
      <c r="O23" s="132"/>
      <c r="P23" s="132"/>
      <c r="Q23" s="132"/>
      <c r="R23" s="108"/>
      <c r="S23" s="1"/>
      <c r="T23" s="166"/>
      <c r="U23" s="36">
        <v>12</v>
      </c>
      <c r="V23" s="60"/>
      <c r="W23" s="38"/>
      <c r="X23" s="39"/>
      <c r="Y23" s="38"/>
      <c r="Z23" s="39"/>
      <c r="AA23" s="38"/>
      <c r="AB23" s="39"/>
      <c r="AC23" s="39"/>
      <c r="AD23" s="39"/>
      <c r="AE23" s="39"/>
      <c r="AF23" s="39"/>
      <c r="AG23" s="39"/>
      <c r="AH23" s="39"/>
      <c r="AI23" s="39"/>
      <c r="AJ23" s="53"/>
      <c r="BC23" s="114"/>
    </row>
    <row r="24" spans="1:55" x14ac:dyDescent="0.25">
      <c r="B24" s="166"/>
      <c r="C24" s="40">
        <v>13</v>
      </c>
      <c r="D24" s="118"/>
      <c r="E24" s="132"/>
      <c r="F24" s="132"/>
      <c r="G24" s="132"/>
      <c r="H24" s="132"/>
      <c r="I24" s="132"/>
      <c r="J24" s="132"/>
      <c r="K24" s="132"/>
      <c r="L24" s="132"/>
      <c r="M24" s="132"/>
      <c r="N24" s="132"/>
      <c r="O24" s="132"/>
      <c r="P24" s="132"/>
      <c r="Q24" s="132"/>
      <c r="R24" s="108"/>
      <c r="S24" s="1"/>
      <c r="T24" s="166"/>
      <c r="U24" s="36">
        <v>13</v>
      </c>
      <c r="V24" s="60"/>
      <c r="W24" s="38"/>
      <c r="X24" s="39"/>
      <c r="Y24" s="38"/>
      <c r="Z24" s="39"/>
      <c r="AA24" s="38"/>
      <c r="AB24" s="39"/>
      <c r="AC24" s="39"/>
      <c r="AD24" s="39"/>
      <c r="AE24" s="39"/>
      <c r="AF24" s="39"/>
      <c r="AG24" s="39"/>
      <c r="AH24" s="39"/>
      <c r="AI24" s="39"/>
      <c r="AJ24" s="53"/>
      <c r="BC24" s="114"/>
    </row>
    <row r="25" spans="1:55" x14ac:dyDescent="0.25">
      <c r="B25" s="166"/>
      <c r="C25" s="40">
        <v>14</v>
      </c>
      <c r="D25" s="118"/>
      <c r="E25" s="132"/>
      <c r="F25" s="132"/>
      <c r="G25" s="132"/>
      <c r="H25" s="132"/>
      <c r="I25" s="132"/>
      <c r="J25" s="132"/>
      <c r="K25" s="132"/>
      <c r="L25" s="132"/>
      <c r="M25" s="132"/>
      <c r="N25" s="132"/>
      <c r="O25" s="132"/>
      <c r="P25" s="132"/>
      <c r="Q25" s="132"/>
      <c r="R25" s="108"/>
      <c r="S25" s="1"/>
      <c r="T25" s="166"/>
      <c r="U25" s="36">
        <v>14</v>
      </c>
      <c r="V25" s="60"/>
      <c r="W25" s="38"/>
      <c r="X25" s="39"/>
      <c r="Y25" s="38"/>
      <c r="Z25" s="39"/>
      <c r="AA25" s="38"/>
      <c r="AB25" s="39"/>
      <c r="AC25" s="39"/>
      <c r="AD25" s="39"/>
      <c r="AE25" s="39"/>
      <c r="AF25" s="39"/>
      <c r="AG25" s="39"/>
      <c r="AH25" s="39"/>
      <c r="AI25" s="39"/>
      <c r="AJ25" s="53"/>
      <c r="BC25" s="114"/>
    </row>
    <row r="26" spans="1:55" x14ac:dyDescent="0.25">
      <c r="B26" s="166"/>
      <c r="C26" s="40">
        <v>15</v>
      </c>
      <c r="D26" s="118"/>
      <c r="E26" s="132"/>
      <c r="F26" s="132"/>
      <c r="G26" s="132"/>
      <c r="H26" s="132"/>
      <c r="I26" s="132"/>
      <c r="J26" s="132"/>
      <c r="K26" s="132"/>
      <c r="L26" s="132"/>
      <c r="M26" s="132"/>
      <c r="N26" s="132"/>
      <c r="O26" s="132"/>
      <c r="P26" s="132"/>
      <c r="Q26" s="132"/>
      <c r="R26" s="108"/>
      <c r="S26" s="1"/>
      <c r="T26" s="166"/>
      <c r="U26" s="36">
        <v>15</v>
      </c>
      <c r="V26" s="60"/>
      <c r="W26" s="38"/>
      <c r="X26" s="39"/>
      <c r="Y26" s="38"/>
      <c r="Z26" s="39"/>
      <c r="AA26" s="38"/>
      <c r="AB26" s="39"/>
      <c r="AC26" s="39"/>
      <c r="AD26" s="39"/>
      <c r="AE26" s="39"/>
      <c r="AF26" s="39"/>
      <c r="AG26" s="39"/>
      <c r="AH26" s="39"/>
      <c r="AI26" s="39"/>
      <c r="AJ26" s="53"/>
      <c r="BC26" s="114"/>
    </row>
    <row r="27" spans="1:55" x14ac:dyDescent="0.25">
      <c r="B27" s="166"/>
      <c r="C27" s="40">
        <v>16</v>
      </c>
      <c r="D27" s="118"/>
      <c r="E27" s="132"/>
      <c r="F27" s="132"/>
      <c r="G27" s="132"/>
      <c r="H27" s="132"/>
      <c r="I27" s="132"/>
      <c r="J27" s="132"/>
      <c r="K27" s="132"/>
      <c r="L27" s="132"/>
      <c r="M27" s="132"/>
      <c r="N27" s="132"/>
      <c r="O27" s="132"/>
      <c r="P27" s="132"/>
      <c r="Q27" s="132"/>
      <c r="R27" s="108"/>
      <c r="S27" s="1"/>
      <c r="T27" s="166"/>
      <c r="U27" s="36">
        <v>16</v>
      </c>
      <c r="V27" s="60"/>
      <c r="W27" s="38"/>
      <c r="X27" s="39"/>
      <c r="Y27" s="38"/>
      <c r="Z27" s="39"/>
      <c r="AA27" s="38"/>
      <c r="AB27" s="39"/>
      <c r="AC27" s="39"/>
      <c r="AD27" s="39"/>
      <c r="AE27" s="39"/>
      <c r="AF27" s="39"/>
      <c r="AG27" s="39"/>
      <c r="AH27" s="39"/>
      <c r="AI27" s="39"/>
      <c r="AJ27" s="53"/>
      <c r="BC27" s="114"/>
    </row>
    <row r="28" spans="1:55" x14ac:dyDescent="0.25">
      <c r="B28" s="166"/>
      <c r="C28" s="40">
        <v>17</v>
      </c>
      <c r="D28" s="118"/>
      <c r="E28" s="132"/>
      <c r="F28" s="132"/>
      <c r="G28" s="132"/>
      <c r="H28" s="132"/>
      <c r="I28" s="132"/>
      <c r="J28" s="132"/>
      <c r="K28" s="132"/>
      <c r="L28" s="132"/>
      <c r="M28" s="132"/>
      <c r="N28" s="132"/>
      <c r="O28" s="132"/>
      <c r="P28" s="132"/>
      <c r="Q28" s="132"/>
      <c r="R28" s="108"/>
      <c r="S28" s="1"/>
      <c r="T28" s="166"/>
      <c r="U28" s="36">
        <v>17</v>
      </c>
      <c r="V28" s="60"/>
      <c r="W28" s="38"/>
      <c r="X28" s="39"/>
      <c r="Y28" s="38"/>
      <c r="Z28" s="39"/>
      <c r="AA28" s="38"/>
      <c r="AB28" s="39"/>
      <c r="AC28" s="39"/>
      <c r="AD28" s="39"/>
      <c r="AE28" s="39"/>
      <c r="AF28" s="39"/>
      <c r="AG28" s="39"/>
      <c r="AH28" s="39"/>
      <c r="AI28" s="39"/>
      <c r="AJ28" s="53"/>
      <c r="BC28" s="114"/>
    </row>
    <row r="29" spans="1:55" x14ac:dyDescent="0.25">
      <c r="B29" s="166"/>
      <c r="C29" s="40">
        <v>18</v>
      </c>
      <c r="D29" s="118"/>
      <c r="E29" s="132"/>
      <c r="F29" s="132"/>
      <c r="G29" s="132"/>
      <c r="H29" s="132"/>
      <c r="I29" s="132"/>
      <c r="J29" s="132"/>
      <c r="K29" s="132"/>
      <c r="L29" s="132"/>
      <c r="M29" s="132"/>
      <c r="N29" s="132"/>
      <c r="O29" s="132"/>
      <c r="P29" s="132"/>
      <c r="Q29" s="132"/>
      <c r="R29" s="108"/>
      <c r="S29" s="1"/>
      <c r="T29" s="166"/>
      <c r="U29" s="36">
        <v>18</v>
      </c>
      <c r="V29" s="60"/>
      <c r="W29" s="38"/>
      <c r="X29" s="39"/>
      <c r="Y29" s="38"/>
      <c r="Z29" s="39"/>
      <c r="AA29" s="38"/>
      <c r="AB29" s="39"/>
      <c r="AC29" s="39"/>
      <c r="AD29" s="39"/>
      <c r="AE29" s="39"/>
      <c r="AF29" s="39"/>
      <c r="AG29" s="39"/>
      <c r="AH29" s="39"/>
      <c r="AI29" s="39"/>
      <c r="AJ29" s="53"/>
      <c r="BC29" s="114"/>
    </row>
    <row r="30" spans="1:55" x14ac:dyDescent="0.25">
      <c r="B30" s="166"/>
      <c r="C30" s="40">
        <v>19</v>
      </c>
      <c r="D30" s="118"/>
      <c r="E30" s="132"/>
      <c r="F30" s="132"/>
      <c r="G30" s="132"/>
      <c r="H30" s="132"/>
      <c r="I30" s="132"/>
      <c r="J30" s="132"/>
      <c r="K30" s="132"/>
      <c r="L30" s="132"/>
      <c r="M30" s="132"/>
      <c r="N30" s="132"/>
      <c r="O30" s="132"/>
      <c r="P30" s="132"/>
      <c r="Q30" s="132"/>
      <c r="R30" s="108"/>
      <c r="S30" s="1"/>
      <c r="T30" s="166"/>
      <c r="U30" s="36">
        <v>19</v>
      </c>
      <c r="V30" s="60"/>
      <c r="W30" s="38"/>
      <c r="X30" s="39"/>
      <c r="Y30" s="38"/>
      <c r="Z30" s="39"/>
      <c r="AA30" s="38"/>
      <c r="AB30" s="39"/>
      <c r="AC30" s="39"/>
      <c r="AD30" s="39"/>
      <c r="AE30" s="39"/>
      <c r="AF30" s="39"/>
      <c r="AG30" s="39"/>
      <c r="AH30" s="39"/>
      <c r="AI30" s="39"/>
      <c r="AJ30" s="53"/>
      <c r="BC30" s="114"/>
    </row>
    <row r="31" spans="1:55" x14ac:dyDescent="0.25">
      <c r="B31" s="167"/>
      <c r="C31" s="40">
        <v>20</v>
      </c>
      <c r="D31" s="113"/>
      <c r="E31" s="107"/>
      <c r="F31" s="107"/>
      <c r="G31" s="107"/>
      <c r="H31" s="107"/>
      <c r="I31" s="107"/>
      <c r="J31" s="107"/>
      <c r="K31" s="107"/>
      <c r="L31" s="107"/>
      <c r="M31" s="107"/>
      <c r="N31" s="107"/>
      <c r="O31" s="107"/>
      <c r="P31" s="107"/>
      <c r="Q31" s="107"/>
      <c r="R31" s="109"/>
      <c r="S31" s="1"/>
      <c r="T31" s="167"/>
      <c r="U31" s="36">
        <v>20</v>
      </c>
      <c r="V31" s="35"/>
      <c r="W31" s="61"/>
      <c r="X31" s="61"/>
      <c r="Y31" s="61"/>
      <c r="Z31" s="61"/>
      <c r="AA31" s="61"/>
      <c r="AB31" s="61"/>
      <c r="AC31" s="61"/>
      <c r="AD31" s="61"/>
      <c r="AE31" s="61"/>
      <c r="AF31" s="61"/>
      <c r="AG31" s="61"/>
      <c r="AH31" s="61"/>
      <c r="AI31" s="61"/>
      <c r="AJ31" s="55"/>
      <c r="BC31" s="114"/>
    </row>
    <row r="32" spans="1:55" x14ac:dyDescent="0.25">
      <c r="A32" s="158"/>
      <c r="B32" s="161" t="s">
        <v>58</v>
      </c>
      <c r="C32" s="175"/>
      <c r="D32" s="154" t="e">
        <f>((D12-D31)/(D12+D31))</f>
        <v>#DIV/0!</v>
      </c>
      <c r="E32" s="154" t="e">
        <f t="shared" ref="E32:R32" si="3">((E12-E31)/(E12+E31))</f>
        <v>#DIV/0!</v>
      </c>
      <c r="F32" s="154" t="e">
        <f t="shared" si="3"/>
        <v>#DIV/0!</v>
      </c>
      <c r="G32" s="154" t="e">
        <f t="shared" si="3"/>
        <v>#DIV/0!</v>
      </c>
      <c r="H32" s="154" t="e">
        <f t="shared" si="3"/>
        <v>#DIV/0!</v>
      </c>
      <c r="I32" s="154" t="e">
        <f t="shared" si="3"/>
        <v>#DIV/0!</v>
      </c>
      <c r="J32" s="154" t="e">
        <f t="shared" si="3"/>
        <v>#DIV/0!</v>
      </c>
      <c r="K32" s="154" t="e">
        <f t="shared" si="3"/>
        <v>#DIV/0!</v>
      </c>
      <c r="L32" s="154" t="e">
        <f t="shared" si="3"/>
        <v>#DIV/0!</v>
      </c>
      <c r="M32" s="154" t="e">
        <f t="shared" si="3"/>
        <v>#DIV/0!</v>
      </c>
      <c r="N32" s="154" t="e">
        <f t="shared" si="3"/>
        <v>#DIV/0!</v>
      </c>
      <c r="O32" s="154" t="e">
        <f t="shared" si="3"/>
        <v>#DIV/0!</v>
      </c>
      <c r="P32" s="154" t="e">
        <f t="shared" si="3"/>
        <v>#DIV/0!</v>
      </c>
      <c r="Q32" s="154" t="e">
        <f t="shared" si="3"/>
        <v>#DIV/0!</v>
      </c>
      <c r="R32" s="154" t="e">
        <f t="shared" si="3"/>
        <v>#DIV/0!</v>
      </c>
      <c r="S32" s="155"/>
      <c r="T32" s="161" t="s">
        <v>58</v>
      </c>
      <c r="U32" s="175"/>
      <c r="V32" s="154" t="e">
        <f>((V12-V31)/(V12+V31))</f>
        <v>#DIV/0!</v>
      </c>
      <c r="W32" s="154" t="e">
        <f t="shared" ref="W32:AJ32" si="4">((W12-W31)/(W12+W31))</f>
        <v>#DIV/0!</v>
      </c>
      <c r="X32" s="154" t="e">
        <f t="shared" si="4"/>
        <v>#DIV/0!</v>
      </c>
      <c r="Y32" s="154" t="e">
        <f t="shared" si="4"/>
        <v>#DIV/0!</v>
      </c>
      <c r="Z32" s="154" t="e">
        <f t="shared" si="4"/>
        <v>#DIV/0!</v>
      </c>
      <c r="AA32" s="154" t="e">
        <f t="shared" si="4"/>
        <v>#DIV/0!</v>
      </c>
      <c r="AB32" s="154" t="e">
        <f t="shared" si="4"/>
        <v>#DIV/0!</v>
      </c>
      <c r="AC32" s="154" t="e">
        <f t="shared" si="4"/>
        <v>#DIV/0!</v>
      </c>
      <c r="AD32" s="154" t="e">
        <f t="shared" si="4"/>
        <v>#DIV/0!</v>
      </c>
      <c r="AE32" s="154" t="e">
        <f t="shared" si="4"/>
        <v>#DIV/0!</v>
      </c>
      <c r="AF32" s="154" t="e">
        <f t="shared" si="4"/>
        <v>#DIV/0!</v>
      </c>
      <c r="AG32" s="154" t="e">
        <f t="shared" si="4"/>
        <v>#DIV/0!</v>
      </c>
      <c r="AH32" s="154" t="e">
        <f t="shared" si="4"/>
        <v>#DIV/0!</v>
      </c>
      <c r="AI32" s="154" t="e">
        <f t="shared" si="4"/>
        <v>#DIV/0!</v>
      </c>
      <c r="AJ32" s="154" t="e">
        <f t="shared" si="4"/>
        <v>#DIV/0!</v>
      </c>
      <c r="AK32" s="158"/>
      <c r="AL32" s="158"/>
      <c r="BC32" s="155"/>
    </row>
    <row r="33" spans="2:36" x14ac:dyDescent="0.25">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2:36" x14ac:dyDescent="0.25">
      <c r="B34" s="171" t="s">
        <v>49</v>
      </c>
      <c r="C34" s="172"/>
      <c r="D34" s="172"/>
      <c r="E34" s="172"/>
      <c r="F34" s="172"/>
      <c r="G34" s="172"/>
      <c r="H34" s="172"/>
      <c r="I34" s="172"/>
      <c r="J34" s="172"/>
      <c r="K34" s="172"/>
      <c r="L34" s="172"/>
      <c r="M34" s="172"/>
      <c r="N34" s="172"/>
      <c r="O34" s="172"/>
      <c r="P34" s="172"/>
      <c r="Q34" s="172"/>
      <c r="R34" s="128"/>
      <c r="S34" s="121"/>
      <c r="T34" s="171" t="s">
        <v>50</v>
      </c>
      <c r="U34" s="172"/>
      <c r="V34" s="172"/>
      <c r="W34" s="172"/>
      <c r="X34" s="172"/>
      <c r="Y34" s="172"/>
      <c r="Z34" s="172"/>
      <c r="AA34" s="172"/>
      <c r="AB34" s="172"/>
      <c r="AC34" s="172"/>
      <c r="AD34" s="172"/>
      <c r="AE34" s="172"/>
      <c r="AF34" s="172"/>
      <c r="AG34" s="172"/>
      <c r="AH34" s="172"/>
      <c r="AI34" s="172"/>
      <c r="AJ34" s="128"/>
    </row>
    <row r="35" spans="2:36" x14ac:dyDescent="0.25">
      <c r="B35" s="120" t="s">
        <v>1</v>
      </c>
      <c r="C35" s="40" t="s">
        <v>0</v>
      </c>
      <c r="D35" s="126" t="s">
        <v>43</v>
      </c>
      <c r="E35" s="126" t="s">
        <v>44</v>
      </c>
      <c r="F35" s="126" t="s">
        <v>45</v>
      </c>
      <c r="G35" s="41" t="s">
        <v>42</v>
      </c>
      <c r="H35" s="120" t="s">
        <v>41</v>
      </c>
      <c r="I35" s="120" t="s">
        <v>40</v>
      </c>
      <c r="J35" s="120" t="s">
        <v>39</v>
      </c>
      <c r="K35" s="120" t="s">
        <v>38</v>
      </c>
      <c r="L35" s="120" t="s">
        <v>37</v>
      </c>
      <c r="M35" s="120" t="s">
        <v>36</v>
      </c>
      <c r="N35" s="120" t="s">
        <v>35</v>
      </c>
      <c r="O35" s="120" t="s">
        <v>34</v>
      </c>
      <c r="P35" s="120" t="s">
        <v>33</v>
      </c>
      <c r="Q35" s="40" t="s">
        <v>32</v>
      </c>
      <c r="R35" s="70"/>
      <c r="S35" s="121"/>
      <c r="T35" s="120" t="s">
        <v>1</v>
      </c>
      <c r="U35" s="40" t="s">
        <v>0</v>
      </c>
      <c r="V35" s="126" t="s">
        <v>43</v>
      </c>
      <c r="W35" s="126" t="s">
        <v>44</v>
      </c>
      <c r="X35" s="126" t="s">
        <v>45</v>
      </c>
      <c r="Y35" s="41" t="s">
        <v>42</v>
      </c>
      <c r="Z35" s="120" t="s">
        <v>41</v>
      </c>
      <c r="AA35" s="120" t="s">
        <v>40</v>
      </c>
      <c r="AB35" s="120" t="s">
        <v>39</v>
      </c>
      <c r="AC35" s="120" t="s">
        <v>38</v>
      </c>
      <c r="AD35" s="120" t="s">
        <v>37</v>
      </c>
      <c r="AE35" s="120" t="s">
        <v>36</v>
      </c>
      <c r="AF35" s="120" t="s">
        <v>35</v>
      </c>
      <c r="AG35" s="120" t="s">
        <v>34</v>
      </c>
      <c r="AH35" s="120" t="s">
        <v>33</v>
      </c>
      <c r="AI35" s="40" t="s">
        <v>32</v>
      </c>
      <c r="AJ35" s="70"/>
    </row>
    <row r="36" spans="2:36" x14ac:dyDescent="0.25">
      <c r="B36" s="165" t="s">
        <v>3</v>
      </c>
      <c r="C36" s="42">
        <v>1</v>
      </c>
      <c r="D36" s="44" t="e">
        <f t="shared" ref="D36:Q36" si="5">E12/D12</f>
        <v>#DIV/0!</v>
      </c>
      <c r="E36" s="45" t="e">
        <f t="shared" si="5"/>
        <v>#DIV/0!</v>
      </c>
      <c r="F36" s="45" t="e">
        <f t="shared" si="5"/>
        <v>#DIV/0!</v>
      </c>
      <c r="G36" s="45" t="e">
        <f t="shared" si="5"/>
        <v>#DIV/0!</v>
      </c>
      <c r="H36" s="45" t="e">
        <f t="shared" si="5"/>
        <v>#DIV/0!</v>
      </c>
      <c r="I36" s="45" t="e">
        <f t="shared" si="5"/>
        <v>#DIV/0!</v>
      </c>
      <c r="J36" s="45" t="e">
        <f t="shared" si="5"/>
        <v>#DIV/0!</v>
      </c>
      <c r="K36" s="45" t="e">
        <f t="shared" si="5"/>
        <v>#DIV/0!</v>
      </c>
      <c r="L36" s="45" t="e">
        <f t="shared" si="5"/>
        <v>#DIV/0!</v>
      </c>
      <c r="M36" s="45" t="e">
        <f t="shared" si="5"/>
        <v>#DIV/0!</v>
      </c>
      <c r="N36" s="45" t="e">
        <f t="shared" si="5"/>
        <v>#DIV/0!</v>
      </c>
      <c r="O36" s="45" t="e">
        <f t="shared" si="5"/>
        <v>#DIV/0!</v>
      </c>
      <c r="P36" s="45" t="e">
        <f t="shared" si="5"/>
        <v>#DIV/0!</v>
      </c>
      <c r="Q36" s="45" t="e">
        <f t="shared" si="5"/>
        <v>#DIV/0!</v>
      </c>
      <c r="R36" s="118"/>
      <c r="S36" s="1"/>
      <c r="T36" s="165" t="s">
        <v>3</v>
      </c>
      <c r="U36" s="43">
        <v>1</v>
      </c>
      <c r="V36" s="44" t="e">
        <f t="shared" ref="V36:AI36" si="6">W12/V12</f>
        <v>#DIV/0!</v>
      </c>
      <c r="W36" s="45" t="e">
        <f t="shared" si="6"/>
        <v>#DIV/0!</v>
      </c>
      <c r="X36" s="45" t="e">
        <f t="shared" si="6"/>
        <v>#DIV/0!</v>
      </c>
      <c r="Y36" s="45" t="e">
        <f t="shared" si="6"/>
        <v>#DIV/0!</v>
      </c>
      <c r="Z36" s="45" t="e">
        <f t="shared" si="6"/>
        <v>#DIV/0!</v>
      </c>
      <c r="AA36" s="45" t="e">
        <f t="shared" si="6"/>
        <v>#DIV/0!</v>
      </c>
      <c r="AB36" s="45" t="e">
        <f t="shared" si="6"/>
        <v>#DIV/0!</v>
      </c>
      <c r="AC36" s="45" t="e">
        <f t="shared" si="6"/>
        <v>#DIV/0!</v>
      </c>
      <c r="AD36" s="45" t="e">
        <f t="shared" si="6"/>
        <v>#DIV/0!</v>
      </c>
      <c r="AE36" s="45" t="e">
        <f t="shared" si="6"/>
        <v>#DIV/0!</v>
      </c>
      <c r="AF36" s="45" t="e">
        <f t="shared" si="6"/>
        <v>#DIV/0!</v>
      </c>
      <c r="AG36" s="45" t="e">
        <f t="shared" si="6"/>
        <v>#DIV/0!</v>
      </c>
      <c r="AH36" s="45" t="e">
        <f t="shared" si="6"/>
        <v>#DIV/0!</v>
      </c>
      <c r="AI36" s="45" t="e">
        <f t="shared" si="6"/>
        <v>#DIV/0!</v>
      </c>
      <c r="AJ36" s="70"/>
    </row>
    <row r="37" spans="2:36" x14ac:dyDescent="0.25">
      <c r="B37" s="166"/>
      <c r="C37" s="34">
        <v>2</v>
      </c>
      <c r="D37" s="47" t="e">
        <f t="shared" ref="D37:Q37" si="7">E13/D13</f>
        <v>#DIV/0!</v>
      </c>
      <c r="E37" s="48" t="e">
        <f t="shared" si="7"/>
        <v>#DIV/0!</v>
      </c>
      <c r="F37" s="48" t="e">
        <f t="shared" si="7"/>
        <v>#DIV/0!</v>
      </c>
      <c r="G37" s="48" t="e">
        <f t="shared" si="7"/>
        <v>#DIV/0!</v>
      </c>
      <c r="H37" s="48" t="e">
        <f t="shared" si="7"/>
        <v>#DIV/0!</v>
      </c>
      <c r="I37" s="48" t="e">
        <f t="shared" si="7"/>
        <v>#DIV/0!</v>
      </c>
      <c r="J37" s="48" t="e">
        <f t="shared" si="7"/>
        <v>#DIV/0!</v>
      </c>
      <c r="K37" s="48" t="e">
        <f t="shared" si="7"/>
        <v>#DIV/0!</v>
      </c>
      <c r="L37" s="48" t="e">
        <f t="shared" si="7"/>
        <v>#DIV/0!</v>
      </c>
      <c r="M37" s="48" t="e">
        <f t="shared" si="7"/>
        <v>#DIV/0!</v>
      </c>
      <c r="N37" s="48" t="e">
        <f t="shared" si="7"/>
        <v>#DIV/0!</v>
      </c>
      <c r="O37" s="48" t="e">
        <f t="shared" si="7"/>
        <v>#DIV/0!</v>
      </c>
      <c r="P37" s="48" t="e">
        <f t="shared" si="7"/>
        <v>#DIV/0!</v>
      </c>
      <c r="Q37" s="48" t="e">
        <f t="shared" si="7"/>
        <v>#DIV/0!</v>
      </c>
      <c r="R37" s="118"/>
      <c r="S37" s="1"/>
      <c r="T37" s="166"/>
      <c r="U37" s="36">
        <v>2</v>
      </c>
      <c r="V37" s="47" t="e">
        <f t="shared" ref="V37:AI37" si="8">W13/V13</f>
        <v>#DIV/0!</v>
      </c>
      <c r="W37" s="48" t="e">
        <f t="shared" si="8"/>
        <v>#DIV/0!</v>
      </c>
      <c r="X37" s="48" t="e">
        <f t="shared" si="8"/>
        <v>#DIV/0!</v>
      </c>
      <c r="Y37" s="48" t="e">
        <f t="shared" si="8"/>
        <v>#DIV/0!</v>
      </c>
      <c r="Z37" s="48" t="e">
        <f t="shared" si="8"/>
        <v>#DIV/0!</v>
      </c>
      <c r="AA37" s="48" t="e">
        <f t="shared" si="8"/>
        <v>#DIV/0!</v>
      </c>
      <c r="AB37" s="48" t="e">
        <f t="shared" si="8"/>
        <v>#DIV/0!</v>
      </c>
      <c r="AC37" s="48" t="e">
        <f t="shared" si="8"/>
        <v>#DIV/0!</v>
      </c>
      <c r="AD37" s="48" t="e">
        <f t="shared" si="8"/>
        <v>#DIV/0!</v>
      </c>
      <c r="AE37" s="48" t="e">
        <f t="shared" si="8"/>
        <v>#DIV/0!</v>
      </c>
      <c r="AF37" s="48" t="e">
        <f t="shared" si="8"/>
        <v>#DIV/0!</v>
      </c>
      <c r="AG37" s="48" t="e">
        <f t="shared" si="8"/>
        <v>#DIV/0!</v>
      </c>
      <c r="AH37" s="48" t="e">
        <f t="shared" si="8"/>
        <v>#DIV/0!</v>
      </c>
      <c r="AI37" s="48" t="e">
        <f t="shared" si="8"/>
        <v>#DIV/0!</v>
      </c>
      <c r="AJ37" s="70"/>
    </row>
    <row r="38" spans="2:36" x14ac:dyDescent="0.25">
      <c r="B38" s="166"/>
      <c r="C38" s="34">
        <v>3</v>
      </c>
      <c r="D38" s="47" t="e">
        <f t="shared" ref="D38:Q38" si="9">E14/D14</f>
        <v>#DIV/0!</v>
      </c>
      <c r="E38" s="48" t="e">
        <f t="shared" si="9"/>
        <v>#DIV/0!</v>
      </c>
      <c r="F38" s="48" t="e">
        <f t="shared" si="9"/>
        <v>#DIV/0!</v>
      </c>
      <c r="G38" s="48" t="e">
        <f t="shared" si="9"/>
        <v>#DIV/0!</v>
      </c>
      <c r="H38" s="48" t="e">
        <f t="shared" si="9"/>
        <v>#DIV/0!</v>
      </c>
      <c r="I38" s="48" t="e">
        <f t="shared" si="9"/>
        <v>#DIV/0!</v>
      </c>
      <c r="J38" s="48" t="e">
        <f t="shared" si="9"/>
        <v>#DIV/0!</v>
      </c>
      <c r="K38" s="48" t="e">
        <f t="shared" si="9"/>
        <v>#DIV/0!</v>
      </c>
      <c r="L38" s="48" t="e">
        <f t="shared" si="9"/>
        <v>#DIV/0!</v>
      </c>
      <c r="M38" s="48" t="e">
        <f t="shared" si="9"/>
        <v>#DIV/0!</v>
      </c>
      <c r="N38" s="48" t="e">
        <f t="shared" si="9"/>
        <v>#DIV/0!</v>
      </c>
      <c r="O38" s="48" t="e">
        <f t="shared" si="9"/>
        <v>#DIV/0!</v>
      </c>
      <c r="P38" s="48" t="e">
        <f t="shared" si="9"/>
        <v>#DIV/0!</v>
      </c>
      <c r="Q38" s="48" t="e">
        <f t="shared" si="9"/>
        <v>#DIV/0!</v>
      </c>
      <c r="R38" s="118"/>
      <c r="S38" s="1"/>
      <c r="T38" s="166"/>
      <c r="U38" s="36">
        <v>3</v>
      </c>
      <c r="V38" s="47" t="e">
        <f t="shared" ref="V38:AI38" si="10">W14/V14</f>
        <v>#DIV/0!</v>
      </c>
      <c r="W38" s="48" t="e">
        <f t="shared" si="10"/>
        <v>#DIV/0!</v>
      </c>
      <c r="X38" s="48" t="e">
        <f t="shared" si="10"/>
        <v>#DIV/0!</v>
      </c>
      <c r="Y38" s="48" t="e">
        <f t="shared" si="10"/>
        <v>#DIV/0!</v>
      </c>
      <c r="Z38" s="48" t="e">
        <f t="shared" si="10"/>
        <v>#DIV/0!</v>
      </c>
      <c r="AA38" s="48" t="e">
        <f t="shared" si="10"/>
        <v>#DIV/0!</v>
      </c>
      <c r="AB38" s="48" t="e">
        <f t="shared" si="10"/>
        <v>#DIV/0!</v>
      </c>
      <c r="AC38" s="48" t="e">
        <f t="shared" si="10"/>
        <v>#DIV/0!</v>
      </c>
      <c r="AD38" s="48" t="e">
        <f t="shared" si="10"/>
        <v>#DIV/0!</v>
      </c>
      <c r="AE38" s="48" t="e">
        <f t="shared" si="10"/>
        <v>#DIV/0!</v>
      </c>
      <c r="AF38" s="48" t="e">
        <f t="shared" si="10"/>
        <v>#DIV/0!</v>
      </c>
      <c r="AG38" s="48" t="e">
        <f t="shared" si="10"/>
        <v>#DIV/0!</v>
      </c>
      <c r="AH38" s="48" t="e">
        <f t="shared" si="10"/>
        <v>#DIV/0!</v>
      </c>
      <c r="AI38" s="48" t="e">
        <f t="shared" si="10"/>
        <v>#DIV/0!</v>
      </c>
      <c r="AJ38" s="70"/>
    </row>
    <row r="39" spans="2:36" x14ac:dyDescent="0.25">
      <c r="B39" s="167"/>
      <c r="C39" s="34">
        <v>4</v>
      </c>
      <c r="D39" s="47" t="e">
        <f t="shared" ref="D39:Q39" si="11">E15/D15</f>
        <v>#DIV/0!</v>
      </c>
      <c r="E39" s="48" t="e">
        <f t="shared" si="11"/>
        <v>#DIV/0!</v>
      </c>
      <c r="F39" s="48" t="e">
        <f t="shared" si="11"/>
        <v>#DIV/0!</v>
      </c>
      <c r="G39" s="48" t="e">
        <f t="shared" si="11"/>
        <v>#DIV/0!</v>
      </c>
      <c r="H39" s="48" t="e">
        <f t="shared" si="11"/>
        <v>#DIV/0!</v>
      </c>
      <c r="I39" s="48" t="e">
        <f t="shared" si="11"/>
        <v>#DIV/0!</v>
      </c>
      <c r="J39" s="48" t="e">
        <f t="shared" si="11"/>
        <v>#DIV/0!</v>
      </c>
      <c r="K39" s="48" t="e">
        <f t="shared" si="11"/>
        <v>#DIV/0!</v>
      </c>
      <c r="L39" s="48" t="e">
        <f t="shared" si="11"/>
        <v>#DIV/0!</v>
      </c>
      <c r="M39" s="48" t="e">
        <f t="shared" si="11"/>
        <v>#DIV/0!</v>
      </c>
      <c r="N39" s="48" t="e">
        <f t="shared" si="11"/>
        <v>#DIV/0!</v>
      </c>
      <c r="O39" s="48" t="e">
        <f t="shared" si="11"/>
        <v>#DIV/0!</v>
      </c>
      <c r="P39" s="48" t="e">
        <f t="shared" si="11"/>
        <v>#DIV/0!</v>
      </c>
      <c r="Q39" s="48" t="e">
        <f t="shared" si="11"/>
        <v>#DIV/0!</v>
      </c>
      <c r="R39" s="118"/>
      <c r="S39" s="1"/>
      <c r="T39" s="167"/>
      <c r="U39" s="36">
        <v>4</v>
      </c>
      <c r="V39" s="47" t="e">
        <f t="shared" ref="V39:AI39" si="12">W15/V15</f>
        <v>#DIV/0!</v>
      </c>
      <c r="W39" s="48" t="e">
        <f t="shared" si="12"/>
        <v>#DIV/0!</v>
      </c>
      <c r="X39" s="48" t="e">
        <f t="shared" si="12"/>
        <v>#DIV/0!</v>
      </c>
      <c r="Y39" s="48" t="e">
        <f t="shared" si="12"/>
        <v>#DIV/0!</v>
      </c>
      <c r="Z39" s="48" t="e">
        <f t="shared" si="12"/>
        <v>#DIV/0!</v>
      </c>
      <c r="AA39" s="48" t="e">
        <f t="shared" si="12"/>
        <v>#DIV/0!</v>
      </c>
      <c r="AB39" s="48" t="e">
        <f t="shared" si="12"/>
        <v>#DIV/0!</v>
      </c>
      <c r="AC39" s="48" t="e">
        <f t="shared" si="12"/>
        <v>#DIV/0!</v>
      </c>
      <c r="AD39" s="48" t="e">
        <f t="shared" si="12"/>
        <v>#DIV/0!</v>
      </c>
      <c r="AE39" s="48" t="e">
        <f t="shared" si="12"/>
        <v>#DIV/0!</v>
      </c>
      <c r="AF39" s="48" t="e">
        <f t="shared" si="12"/>
        <v>#DIV/0!</v>
      </c>
      <c r="AG39" s="48" t="e">
        <f t="shared" si="12"/>
        <v>#DIV/0!</v>
      </c>
      <c r="AH39" s="48" t="e">
        <f t="shared" si="12"/>
        <v>#DIV/0!</v>
      </c>
      <c r="AI39" s="48" t="e">
        <f t="shared" si="12"/>
        <v>#DIV/0!</v>
      </c>
      <c r="AJ39" s="70"/>
    </row>
    <row r="40" spans="2:36" x14ac:dyDescent="0.25">
      <c r="B40" s="165" t="s">
        <v>4</v>
      </c>
      <c r="C40" s="34">
        <v>5</v>
      </c>
      <c r="D40" s="47" t="e">
        <f t="shared" ref="D40:Q40" si="13">E16/D16</f>
        <v>#DIV/0!</v>
      </c>
      <c r="E40" s="48" t="e">
        <f t="shared" si="13"/>
        <v>#DIV/0!</v>
      </c>
      <c r="F40" s="48" t="e">
        <f t="shared" si="13"/>
        <v>#DIV/0!</v>
      </c>
      <c r="G40" s="48" t="e">
        <f t="shared" si="13"/>
        <v>#DIV/0!</v>
      </c>
      <c r="H40" s="48" t="e">
        <f t="shared" si="13"/>
        <v>#DIV/0!</v>
      </c>
      <c r="I40" s="48" t="e">
        <f t="shared" si="13"/>
        <v>#DIV/0!</v>
      </c>
      <c r="J40" s="48" t="e">
        <f t="shared" si="13"/>
        <v>#DIV/0!</v>
      </c>
      <c r="K40" s="48" t="e">
        <f t="shared" si="13"/>
        <v>#DIV/0!</v>
      </c>
      <c r="L40" s="48" t="e">
        <f t="shared" si="13"/>
        <v>#DIV/0!</v>
      </c>
      <c r="M40" s="48" t="e">
        <f t="shared" si="13"/>
        <v>#DIV/0!</v>
      </c>
      <c r="N40" s="48" t="e">
        <f t="shared" si="13"/>
        <v>#DIV/0!</v>
      </c>
      <c r="O40" s="48" t="e">
        <f t="shared" si="13"/>
        <v>#DIV/0!</v>
      </c>
      <c r="P40" s="48" t="e">
        <f t="shared" si="13"/>
        <v>#DIV/0!</v>
      </c>
      <c r="Q40" s="48" t="e">
        <f t="shared" si="13"/>
        <v>#DIV/0!</v>
      </c>
      <c r="R40" s="118"/>
      <c r="S40" s="1"/>
      <c r="T40" s="165" t="s">
        <v>4</v>
      </c>
      <c r="U40" s="36">
        <v>5</v>
      </c>
      <c r="V40" s="47" t="e">
        <f t="shared" ref="V40:AI40" si="14">W16/V16</f>
        <v>#DIV/0!</v>
      </c>
      <c r="W40" s="48" t="e">
        <f t="shared" si="14"/>
        <v>#DIV/0!</v>
      </c>
      <c r="X40" s="48" t="e">
        <f t="shared" si="14"/>
        <v>#DIV/0!</v>
      </c>
      <c r="Y40" s="48" t="e">
        <f t="shared" si="14"/>
        <v>#DIV/0!</v>
      </c>
      <c r="Z40" s="48" t="e">
        <f t="shared" si="14"/>
        <v>#DIV/0!</v>
      </c>
      <c r="AA40" s="48" t="e">
        <f t="shared" si="14"/>
        <v>#DIV/0!</v>
      </c>
      <c r="AB40" s="48" t="e">
        <f t="shared" si="14"/>
        <v>#DIV/0!</v>
      </c>
      <c r="AC40" s="48" t="e">
        <f t="shared" si="14"/>
        <v>#DIV/0!</v>
      </c>
      <c r="AD40" s="48" t="e">
        <f t="shared" si="14"/>
        <v>#DIV/0!</v>
      </c>
      <c r="AE40" s="48" t="e">
        <f t="shared" si="14"/>
        <v>#DIV/0!</v>
      </c>
      <c r="AF40" s="48" t="e">
        <f t="shared" si="14"/>
        <v>#DIV/0!</v>
      </c>
      <c r="AG40" s="48" t="e">
        <f t="shared" si="14"/>
        <v>#DIV/0!</v>
      </c>
      <c r="AH40" s="48" t="e">
        <f t="shared" si="14"/>
        <v>#DIV/0!</v>
      </c>
      <c r="AI40" s="48" t="e">
        <f t="shared" si="14"/>
        <v>#DIV/0!</v>
      </c>
      <c r="AJ40" s="70"/>
    </row>
    <row r="41" spans="2:36" x14ac:dyDescent="0.25">
      <c r="B41" s="166"/>
      <c r="C41" s="34">
        <v>6</v>
      </c>
      <c r="D41" s="47" t="e">
        <f t="shared" ref="D41:Q41" si="15">E17/D17</f>
        <v>#DIV/0!</v>
      </c>
      <c r="E41" s="48" t="e">
        <f t="shared" si="15"/>
        <v>#DIV/0!</v>
      </c>
      <c r="F41" s="48" t="e">
        <f t="shared" si="15"/>
        <v>#DIV/0!</v>
      </c>
      <c r="G41" s="48" t="e">
        <f t="shared" si="15"/>
        <v>#DIV/0!</v>
      </c>
      <c r="H41" s="48" t="e">
        <f t="shared" si="15"/>
        <v>#DIV/0!</v>
      </c>
      <c r="I41" s="48" t="e">
        <f t="shared" si="15"/>
        <v>#DIV/0!</v>
      </c>
      <c r="J41" s="48" t="e">
        <f t="shared" si="15"/>
        <v>#DIV/0!</v>
      </c>
      <c r="K41" s="48" t="e">
        <f t="shared" si="15"/>
        <v>#DIV/0!</v>
      </c>
      <c r="L41" s="48" t="e">
        <f t="shared" si="15"/>
        <v>#DIV/0!</v>
      </c>
      <c r="M41" s="48" t="e">
        <f t="shared" si="15"/>
        <v>#DIV/0!</v>
      </c>
      <c r="N41" s="48" t="e">
        <f t="shared" si="15"/>
        <v>#DIV/0!</v>
      </c>
      <c r="O41" s="48" t="e">
        <f t="shared" si="15"/>
        <v>#DIV/0!</v>
      </c>
      <c r="P41" s="48" t="e">
        <f t="shared" si="15"/>
        <v>#DIV/0!</v>
      </c>
      <c r="Q41" s="48" t="e">
        <f t="shared" si="15"/>
        <v>#DIV/0!</v>
      </c>
      <c r="R41" s="118"/>
      <c r="S41" s="1"/>
      <c r="T41" s="166"/>
      <c r="U41" s="36">
        <v>6</v>
      </c>
      <c r="V41" s="47" t="e">
        <f t="shared" ref="V41:AI41" si="16">W17/V17</f>
        <v>#DIV/0!</v>
      </c>
      <c r="W41" s="48" t="e">
        <f t="shared" si="16"/>
        <v>#DIV/0!</v>
      </c>
      <c r="X41" s="48" t="e">
        <f t="shared" si="16"/>
        <v>#DIV/0!</v>
      </c>
      <c r="Y41" s="48" t="e">
        <f t="shared" si="16"/>
        <v>#DIV/0!</v>
      </c>
      <c r="Z41" s="48" t="e">
        <f t="shared" si="16"/>
        <v>#DIV/0!</v>
      </c>
      <c r="AA41" s="48" t="e">
        <f t="shared" si="16"/>
        <v>#DIV/0!</v>
      </c>
      <c r="AB41" s="48" t="e">
        <f t="shared" si="16"/>
        <v>#DIV/0!</v>
      </c>
      <c r="AC41" s="48" t="e">
        <f t="shared" si="16"/>
        <v>#DIV/0!</v>
      </c>
      <c r="AD41" s="48" t="e">
        <f t="shared" si="16"/>
        <v>#DIV/0!</v>
      </c>
      <c r="AE41" s="48" t="e">
        <f t="shared" si="16"/>
        <v>#DIV/0!</v>
      </c>
      <c r="AF41" s="48" t="e">
        <f t="shared" si="16"/>
        <v>#DIV/0!</v>
      </c>
      <c r="AG41" s="48" t="e">
        <f t="shared" si="16"/>
        <v>#DIV/0!</v>
      </c>
      <c r="AH41" s="48" t="e">
        <f t="shared" si="16"/>
        <v>#DIV/0!</v>
      </c>
      <c r="AI41" s="48" t="e">
        <f t="shared" si="16"/>
        <v>#DIV/0!</v>
      </c>
      <c r="AJ41" s="70"/>
    </row>
    <row r="42" spans="2:36" x14ac:dyDescent="0.25">
      <c r="B42" s="166"/>
      <c r="C42" s="34">
        <v>7</v>
      </c>
      <c r="D42" s="47" t="e">
        <f t="shared" ref="D42:Q42" si="17">E18/D18</f>
        <v>#DIV/0!</v>
      </c>
      <c r="E42" s="48" t="e">
        <f t="shared" si="17"/>
        <v>#DIV/0!</v>
      </c>
      <c r="F42" s="48" t="e">
        <f t="shared" si="17"/>
        <v>#DIV/0!</v>
      </c>
      <c r="G42" s="48" t="e">
        <f t="shared" si="17"/>
        <v>#DIV/0!</v>
      </c>
      <c r="H42" s="48" t="e">
        <f t="shared" si="17"/>
        <v>#DIV/0!</v>
      </c>
      <c r="I42" s="48" t="e">
        <f t="shared" si="17"/>
        <v>#DIV/0!</v>
      </c>
      <c r="J42" s="48" t="e">
        <f t="shared" si="17"/>
        <v>#DIV/0!</v>
      </c>
      <c r="K42" s="48" t="e">
        <f t="shared" si="17"/>
        <v>#DIV/0!</v>
      </c>
      <c r="L42" s="48" t="e">
        <f t="shared" si="17"/>
        <v>#DIV/0!</v>
      </c>
      <c r="M42" s="48" t="e">
        <f t="shared" si="17"/>
        <v>#DIV/0!</v>
      </c>
      <c r="N42" s="48" t="e">
        <f t="shared" si="17"/>
        <v>#DIV/0!</v>
      </c>
      <c r="O42" s="48" t="e">
        <f t="shared" si="17"/>
        <v>#DIV/0!</v>
      </c>
      <c r="P42" s="48" t="e">
        <f t="shared" si="17"/>
        <v>#DIV/0!</v>
      </c>
      <c r="Q42" s="48" t="e">
        <f t="shared" si="17"/>
        <v>#DIV/0!</v>
      </c>
      <c r="R42" s="118"/>
      <c r="S42" s="1"/>
      <c r="T42" s="166"/>
      <c r="U42" s="36">
        <v>7</v>
      </c>
      <c r="V42" s="47" t="e">
        <f t="shared" ref="V42:AI42" si="18">W18/V18</f>
        <v>#DIV/0!</v>
      </c>
      <c r="W42" s="48" t="e">
        <f t="shared" si="18"/>
        <v>#DIV/0!</v>
      </c>
      <c r="X42" s="48" t="e">
        <f t="shared" si="18"/>
        <v>#DIV/0!</v>
      </c>
      <c r="Y42" s="48" t="e">
        <f t="shared" si="18"/>
        <v>#DIV/0!</v>
      </c>
      <c r="Z42" s="48" t="e">
        <f t="shared" si="18"/>
        <v>#DIV/0!</v>
      </c>
      <c r="AA42" s="48" t="e">
        <f t="shared" si="18"/>
        <v>#DIV/0!</v>
      </c>
      <c r="AB42" s="48" t="e">
        <f t="shared" si="18"/>
        <v>#DIV/0!</v>
      </c>
      <c r="AC42" s="48" t="e">
        <f t="shared" si="18"/>
        <v>#DIV/0!</v>
      </c>
      <c r="AD42" s="48" t="e">
        <f t="shared" si="18"/>
        <v>#DIV/0!</v>
      </c>
      <c r="AE42" s="48" t="e">
        <f t="shared" si="18"/>
        <v>#DIV/0!</v>
      </c>
      <c r="AF42" s="48" t="e">
        <f t="shared" si="18"/>
        <v>#DIV/0!</v>
      </c>
      <c r="AG42" s="48" t="e">
        <f t="shared" si="18"/>
        <v>#DIV/0!</v>
      </c>
      <c r="AH42" s="48" t="e">
        <f t="shared" si="18"/>
        <v>#DIV/0!</v>
      </c>
      <c r="AI42" s="48" t="e">
        <f t="shared" si="18"/>
        <v>#DIV/0!</v>
      </c>
      <c r="AJ42" s="70"/>
    </row>
    <row r="43" spans="2:36" x14ac:dyDescent="0.25">
      <c r="B43" s="166"/>
      <c r="C43" s="34">
        <v>8</v>
      </c>
      <c r="D43" s="47" t="e">
        <f t="shared" ref="D43:Q43" si="19">E19/D19</f>
        <v>#DIV/0!</v>
      </c>
      <c r="E43" s="48" t="e">
        <f t="shared" si="19"/>
        <v>#DIV/0!</v>
      </c>
      <c r="F43" s="48" t="e">
        <f t="shared" si="19"/>
        <v>#DIV/0!</v>
      </c>
      <c r="G43" s="48" t="e">
        <f t="shared" si="19"/>
        <v>#DIV/0!</v>
      </c>
      <c r="H43" s="48" t="e">
        <f t="shared" si="19"/>
        <v>#DIV/0!</v>
      </c>
      <c r="I43" s="48" t="e">
        <f t="shared" si="19"/>
        <v>#DIV/0!</v>
      </c>
      <c r="J43" s="48" t="e">
        <f t="shared" si="19"/>
        <v>#DIV/0!</v>
      </c>
      <c r="K43" s="48" t="e">
        <f t="shared" si="19"/>
        <v>#DIV/0!</v>
      </c>
      <c r="L43" s="48" t="e">
        <f t="shared" si="19"/>
        <v>#DIV/0!</v>
      </c>
      <c r="M43" s="48" t="e">
        <f t="shared" si="19"/>
        <v>#DIV/0!</v>
      </c>
      <c r="N43" s="48" t="e">
        <f t="shared" si="19"/>
        <v>#DIV/0!</v>
      </c>
      <c r="O43" s="48" t="e">
        <f t="shared" si="19"/>
        <v>#DIV/0!</v>
      </c>
      <c r="P43" s="48" t="e">
        <f t="shared" si="19"/>
        <v>#DIV/0!</v>
      </c>
      <c r="Q43" s="48" t="e">
        <f t="shared" si="19"/>
        <v>#DIV/0!</v>
      </c>
      <c r="R43" s="118"/>
      <c r="S43" s="1"/>
      <c r="T43" s="166"/>
      <c r="U43" s="36">
        <v>8</v>
      </c>
      <c r="V43" s="47" t="e">
        <f t="shared" ref="V43:AI43" si="20">W19/V19</f>
        <v>#DIV/0!</v>
      </c>
      <c r="W43" s="48" t="e">
        <f t="shared" si="20"/>
        <v>#DIV/0!</v>
      </c>
      <c r="X43" s="48" t="e">
        <f t="shared" si="20"/>
        <v>#DIV/0!</v>
      </c>
      <c r="Y43" s="48" t="e">
        <f t="shared" si="20"/>
        <v>#DIV/0!</v>
      </c>
      <c r="Z43" s="48" t="e">
        <f t="shared" si="20"/>
        <v>#DIV/0!</v>
      </c>
      <c r="AA43" s="48" t="e">
        <f t="shared" si="20"/>
        <v>#DIV/0!</v>
      </c>
      <c r="AB43" s="48" t="e">
        <f t="shared" si="20"/>
        <v>#DIV/0!</v>
      </c>
      <c r="AC43" s="48" t="e">
        <f t="shared" si="20"/>
        <v>#DIV/0!</v>
      </c>
      <c r="AD43" s="48" t="e">
        <f t="shared" si="20"/>
        <v>#DIV/0!</v>
      </c>
      <c r="AE43" s="48" t="e">
        <f t="shared" si="20"/>
        <v>#DIV/0!</v>
      </c>
      <c r="AF43" s="48" t="e">
        <f t="shared" si="20"/>
        <v>#DIV/0!</v>
      </c>
      <c r="AG43" s="48" t="e">
        <f t="shared" si="20"/>
        <v>#DIV/0!</v>
      </c>
      <c r="AH43" s="48" t="e">
        <f t="shared" si="20"/>
        <v>#DIV/0!</v>
      </c>
      <c r="AI43" s="48" t="e">
        <f t="shared" si="20"/>
        <v>#DIV/0!</v>
      </c>
      <c r="AJ43" s="70"/>
    </row>
    <row r="44" spans="2:36" x14ac:dyDescent="0.25">
      <c r="B44" s="166"/>
      <c r="C44" s="34">
        <v>9</v>
      </c>
      <c r="D44" s="47" t="e">
        <f t="shared" ref="D44:Q44" si="21">E20/D20</f>
        <v>#DIV/0!</v>
      </c>
      <c r="E44" s="48" t="e">
        <f t="shared" si="21"/>
        <v>#DIV/0!</v>
      </c>
      <c r="F44" s="48" t="e">
        <f t="shared" si="21"/>
        <v>#DIV/0!</v>
      </c>
      <c r="G44" s="48" t="e">
        <f t="shared" si="21"/>
        <v>#DIV/0!</v>
      </c>
      <c r="H44" s="48" t="e">
        <f t="shared" si="21"/>
        <v>#DIV/0!</v>
      </c>
      <c r="I44" s="48" t="e">
        <f t="shared" si="21"/>
        <v>#DIV/0!</v>
      </c>
      <c r="J44" s="48" t="e">
        <f t="shared" si="21"/>
        <v>#DIV/0!</v>
      </c>
      <c r="K44" s="48" t="e">
        <f t="shared" si="21"/>
        <v>#DIV/0!</v>
      </c>
      <c r="L44" s="48" t="e">
        <f t="shared" si="21"/>
        <v>#DIV/0!</v>
      </c>
      <c r="M44" s="48" t="e">
        <f t="shared" si="21"/>
        <v>#DIV/0!</v>
      </c>
      <c r="N44" s="48" t="e">
        <f t="shared" si="21"/>
        <v>#DIV/0!</v>
      </c>
      <c r="O44" s="48" t="e">
        <f t="shared" si="21"/>
        <v>#DIV/0!</v>
      </c>
      <c r="P44" s="48" t="e">
        <f t="shared" si="21"/>
        <v>#DIV/0!</v>
      </c>
      <c r="Q44" s="48" t="e">
        <f t="shared" si="21"/>
        <v>#DIV/0!</v>
      </c>
      <c r="R44" s="118"/>
      <c r="S44" s="1"/>
      <c r="T44" s="166"/>
      <c r="U44" s="36">
        <v>9</v>
      </c>
      <c r="V44" s="47" t="e">
        <f t="shared" ref="V44:AI44" si="22">W20/V20</f>
        <v>#DIV/0!</v>
      </c>
      <c r="W44" s="48" t="e">
        <f t="shared" si="22"/>
        <v>#DIV/0!</v>
      </c>
      <c r="X44" s="48" t="e">
        <f t="shared" si="22"/>
        <v>#DIV/0!</v>
      </c>
      <c r="Y44" s="48" t="e">
        <f t="shared" si="22"/>
        <v>#DIV/0!</v>
      </c>
      <c r="Z44" s="48" t="e">
        <f t="shared" si="22"/>
        <v>#DIV/0!</v>
      </c>
      <c r="AA44" s="48" t="e">
        <f t="shared" si="22"/>
        <v>#DIV/0!</v>
      </c>
      <c r="AB44" s="48" t="e">
        <f t="shared" si="22"/>
        <v>#DIV/0!</v>
      </c>
      <c r="AC44" s="48" t="e">
        <f t="shared" si="22"/>
        <v>#DIV/0!</v>
      </c>
      <c r="AD44" s="48" t="e">
        <f t="shared" si="22"/>
        <v>#DIV/0!</v>
      </c>
      <c r="AE44" s="48" t="e">
        <f t="shared" si="22"/>
        <v>#DIV/0!</v>
      </c>
      <c r="AF44" s="48" t="e">
        <f t="shared" si="22"/>
        <v>#DIV/0!</v>
      </c>
      <c r="AG44" s="48" t="e">
        <f t="shared" si="22"/>
        <v>#DIV/0!</v>
      </c>
      <c r="AH44" s="48" t="e">
        <f t="shared" si="22"/>
        <v>#DIV/0!</v>
      </c>
      <c r="AI44" s="48" t="e">
        <f t="shared" si="22"/>
        <v>#DIV/0!</v>
      </c>
      <c r="AJ44" s="70"/>
    </row>
    <row r="45" spans="2:36" x14ac:dyDescent="0.25">
      <c r="B45" s="166"/>
      <c r="C45" s="34">
        <v>10</v>
      </c>
      <c r="D45" s="47" t="e">
        <f t="shared" ref="D45:Q45" si="23">E21/D21</f>
        <v>#DIV/0!</v>
      </c>
      <c r="E45" s="48" t="e">
        <f t="shared" si="23"/>
        <v>#DIV/0!</v>
      </c>
      <c r="F45" s="48" t="e">
        <f t="shared" si="23"/>
        <v>#DIV/0!</v>
      </c>
      <c r="G45" s="48" t="e">
        <f t="shared" si="23"/>
        <v>#DIV/0!</v>
      </c>
      <c r="H45" s="48" t="e">
        <f t="shared" si="23"/>
        <v>#DIV/0!</v>
      </c>
      <c r="I45" s="48" t="e">
        <f t="shared" si="23"/>
        <v>#DIV/0!</v>
      </c>
      <c r="J45" s="48" t="e">
        <f t="shared" si="23"/>
        <v>#DIV/0!</v>
      </c>
      <c r="K45" s="48" t="e">
        <f t="shared" si="23"/>
        <v>#DIV/0!</v>
      </c>
      <c r="L45" s="48" t="e">
        <f t="shared" si="23"/>
        <v>#DIV/0!</v>
      </c>
      <c r="M45" s="48" t="e">
        <f t="shared" si="23"/>
        <v>#DIV/0!</v>
      </c>
      <c r="N45" s="48" t="e">
        <f t="shared" si="23"/>
        <v>#DIV/0!</v>
      </c>
      <c r="O45" s="48" t="e">
        <f t="shared" si="23"/>
        <v>#DIV/0!</v>
      </c>
      <c r="P45" s="48" t="e">
        <f t="shared" si="23"/>
        <v>#DIV/0!</v>
      </c>
      <c r="Q45" s="48" t="e">
        <f t="shared" si="23"/>
        <v>#DIV/0!</v>
      </c>
      <c r="R45" s="118"/>
      <c r="S45" s="1"/>
      <c r="T45" s="166"/>
      <c r="U45" s="36">
        <v>10</v>
      </c>
      <c r="V45" s="47" t="e">
        <f t="shared" ref="V45:AI45" si="24">W21/V21</f>
        <v>#DIV/0!</v>
      </c>
      <c r="W45" s="48" t="e">
        <f t="shared" si="24"/>
        <v>#DIV/0!</v>
      </c>
      <c r="X45" s="48" t="e">
        <f t="shared" si="24"/>
        <v>#DIV/0!</v>
      </c>
      <c r="Y45" s="48" t="e">
        <f t="shared" si="24"/>
        <v>#DIV/0!</v>
      </c>
      <c r="Z45" s="48" t="e">
        <f t="shared" si="24"/>
        <v>#DIV/0!</v>
      </c>
      <c r="AA45" s="48" t="e">
        <f t="shared" si="24"/>
        <v>#DIV/0!</v>
      </c>
      <c r="AB45" s="48" t="e">
        <f t="shared" si="24"/>
        <v>#DIV/0!</v>
      </c>
      <c r="AC45" s="48" t="e">
        <f t="shared" si="24"/>
        <v>#DIV/0!</v>
      </c>
      <c r="AD45" s="48" t="e">
        <f t="shared" si="24"/>
        <v>#DIV/0!</v>
      </c>
      <c r="AE45" s="48" t="e">
        <f t="shared" si="24"/>
        <v>#DIV/0!</v>
      </c>
      <c r="AF45" s="48" t="e">
        <f t="shared" si="24"/>
        <v>#DIV/0!</v>
      </c>
      <c r="AG45" s="48" t="e">
        <f t="shared" si="24"/>
        <v>#DIV/0!</v>
      </c>
      <c r="AH45" s="48" t="e">
        <f t="shared" si="24"/>
        <v>#DIV/0!</v>
      </c>
      <c r="AI45" s="48" t="e">
        <f t="shared" si="24"/>
        <v>#DIV/0!</v>
      </c>
      <c r="AJ45" s="70"/>
    </row>
    <row r="46" spans="2:36" x14ac:dyDescent="0.25">
      <c r="B46" s="166"/>
      <c r="C46" s="34">
        <v>11</v>
      </c>
      <c r="D46" s="47" t="e">
        <f t="shared" ref="D46:Q46" si="25">E22/D22</f>
        <v>#DIV/0!</v>
      </c>
      <c r="E46" s="48" t="e">
        <f t="shared" si="25"/>
        <v>#DIV/0!</v>
      </c>
      <c r="F46" s="48" t="e">
        <f t="shared" si="25"/>
        <v>#DIV/0!</v>
      </c>
      <c r="G46" s="48" t="e">
        <f t="shared" si="25"/>
        <v>#DIV/0!</v>
      </c>
      <c r="H46" s="48" t="e">
        <f t="shared" si="25"/>
        <v>#DIV/0!</v>
      </c>
      <c r="I46" s="48" t="e">
        <f t="shared" si="25"/>
        <v>#DIV/0!</v>
      </c>
      <c r="J46" s="48" t="e">
        <f t="shared" si="25"/>
        <v>#DIV/0!</v>
      </c>
      <c r="K46" s="48" t="e">
        <f t="shared" si="25"/>
        <v>#DIV/0!</v>
      </c>
      <c r="L46" s="48" t="e">
        <f t="shared" si="25"/>
        <v>#DIV/0!</v>
      </c>
      <c r="M46" s="48" t="e">
        <f t="shared" si="25"/>
        <v>#DIV/0!</v>
      </c>
      <c r="N46" s="48" t="e">
        <f t="shared" si="25"/>
        <v>#DIV/0!</v>
      </c>
      <c r="O46" s="48" t="e">
        <f t="shared" si="25"/>
        <v>#DIV/0!</v>
      </c>
      <c r="P46" s="48" t="e">
        <f t="shared" si="25"/>
        <v>#DIV/0!</v>
      </c>
      <c r="Q46" s="48" t="e">
        <f t="shared" si="25"/>
        <v>#DIV/0!</v>
      </c>
      <c r="R46" s="118"/>
      <c r="S46" s="1"/>
      <c r="T46" s="166"/>
      <c r="U46" s="36">
        <v>11</v>
      </c>
      <c r="V46" s="47" t="e">
        <f t="shared" ref="V46:AI46" si="26">W22/V22</f>
        <v>#DIV/0!</v>
      </c>
      <c r="W46" s="48" t="e">
        <f t="shared" si="26"/>
        <v>#DIV/0!</v>
      </c>
      <c r="X46" s="48" t="e">
        <f t="shared" si="26"/>
        <v>#DIV/0!</v>
      </c>
      <c r="Y46" s="48" t="e">
        <f t="shared" si="26"/>
        <v>#DIV/0!</v>
      </c>
      <c r="Z46" s="48" t="e">
        <f t="shared" si="26"/>
        <v>#DIV/0!</v>
      </c>
      <c r="AA46" s="48" t="e">
        <f t="shared" si="26"/>
        <v>#DIV/0!</v>
      </c>
      <c r="AB46" s="48" t="e">
        <f t="shared" si="26"/>
        <v>#DIV/0!</v>
      </c>
      <c r="AC46" s="48" t="e">
        <f t="shared" si="26"/>
        <v>#DIV/0!</v>
      </c>
      <c r="AD46" s="48" t="e">
        <f t="shared" si="26"/>
        <v>#DIV/0!</v>
      </c>
      <c r="AE46" s="48" t="e">
        <f t="shared" si="26"/>
        <v>#DIV/0!</v>
      </c>
      <c r="AF46" s="48" t="e">
        <f t="shared" si="26"/>
        <v>#DIV/0!</v>
      </c>
      <c r="AG46" s="48" t="e">
        <f t="shared" si="26"/>
        <v>#DIV/0!</v>
      </c>
      <c r="AH46" s="48" t="e">
        <f t="shared" si="26"/>
        <v>#DIV/0!</v>
      </c>
      <c r="AI46" s="48" t="e">
        <f t="shared" si="26"/>
        <v>#DIV/0!</v>
      </c>
      <c r="AJ46" s="70"/>
    </row>
    <row r="47" spans="2:36" x14ac:dyDescent="0.25">
      <c r="B47" s="166"/>
      <c r="C47" s="34">
        <v>12</v>
      </c>
      <c r="D47" s="47" t="e">
        <f t="shared" ref="D47:Q47" si="27">E23/D23</f>
        <v>#DIV/0!</v>
      </c>
      <c r="E47" s="48" t="e">
        <f t="shared" si="27"/>
        <v>#DIV/0!</v>
      </c>
      <c r="F47" s="48" t="e">
        <f t="shared" si="27"/>
        <v>#DIV/0!</v>
      </c>
      <c r="G47" s="48" t="e">
        <f t="shared" si="27"/>
        <v>#DIV/0!</v>
      </c>
      <c r="H47" s="48" t="e">
        <f t="shared" si="27"/>
        <v>#DIV/0!</v>
      </c>
      <c r="I47" s="48" t="e">
        <f t="shared" si="27"/>
        <v>#DIV/0!</v>
      </c>
      <c r="J47" s="48" t="e">
        <f t="shared" si="27"/>
        <v>#DIV/0!</v>
      </c>
      <c r="K47" s="48" t="e">
        <f t="shared" si="27"/>
        <v>#DIV/0!</v>
      </c>
      <c r="L47" s="48" t="e">
        <f t="shared" si="27"/>
        <v>#DIV/0!</v>
      </c>
      <c r="M47" s="48" t="e">
        <f t="shared" si="27"/>
        <v>#DIV/0!</v>
      </c>
      <c r="N47" s="48" t="e">
        <f t="shared" si="27"/>
        <v>#DIV/0!</v>
      </c>
      <c r="O47" s="48" t="e">
        <f t="shared" si="27"/>
        <v>#DIV/0!</v>
      </c>
      <c r="P47" s="48" t="e">
        <f t="shared" si="27"/>
        <v>#DIV/0!</v>
      </c>
      <c r="Q47" s="48" t="e">
        <f t="shared" si="27"/>
        <v>#DIV/0!</v>
      </c>
      <c r="R47" s="118"/>
      <c r="S47" s="1"/>
      <c r="T47" s="166"/>
      <c r="U47" s="36">
        <v>12</v>
      </c>
      <c r="V47" s="47" t="e">
        <f t="shared" ref="V47:AI47" si="28">W23/V23</f>
        <v>#DIV/0!</v>
      </c>
      <c r="W47" s="48" t="e">
        <f t="shared" si="28"/>
        <v>#DIV/0!</v>
      </c>
      <c r="X47" s="48" t="e">
        <f t="shared" si="28"/>
        <v>#DIV/0!</v>
      </c>
      <c r="Y47" s="48" t="e">
        <f t="shared" si="28"/>
        <v>#DIV/0!</v>
      </c>
      <c r="Z47" s="48" t="e">
        <f t="shared" si="28"/>
        <v>#DIV/0!</v>
      </c>
      <c r="AA47" s="48" t="e">
        <f t="shared" si="28"/>
        <v>#DIV/0!</v>
      </c>
      <c r="AB47" s="48" t="e">
        <f t="shared" si="28"/>
        <v>#DIV/0!</v>
      </c>
      <c r="AC47" s="48" t="e">
        <f t="shared" si="28"/>
        <v>#DIV/0!</v>
      </c>
      <c r="AD47" s="48" t="e">
        <f t="shared" si="28"/>
        <v>#DIV/0!</v>
      </c>
      <c r="AE47" s="48" t="e">
        <f t="shared" si="28"/>
        <v>#DIV/0!</v>
      </c>
      <c r="AF47" s="48" t="e">
        <f t="shared" si="28"/>
        <v>#DIV/0!</v>
      </c>
      <c r="AG47" s="48" t="e">
        <f t="shared" si="28"/>
        <v>#DIV/0!</v>
      </c>
      <c r="AH47" s="48" t="e">
        <f t="shared" si="28"/>
        <v>#DIV/0!</v>
      </c>
      <c r="AI47" s="48" t="e">
        <f t="shared" si="28"/>
        <v>#DIV/0!</v>
      </c>
      <c r="AJ47" s="70"/>
    </row>
    <row r="48" spans="2:36" x14ac:dyDescent="0.25">
      <c r="B48" s="166"/>
      <c r="C48" s="34">
        <v>13</v>
      </c>
      <c r="D48" s="47" t="e">
        <f t="shared" ref="D48:Q48" si="29">E24/D24</f>
        <v>#DIV/0!</v>
      </c>
      <c r="E48" s="48" t="e">
        <f t="shared" si="29"/>
        <v>#DIV/0!</v>
      </c>
      <c r="F48" s="48" t="e">
        <f t="shared" si="29"/>
        <v>#DIV/0!</v>
      </c>
      <c r="G48" s="48" t="e">
        <f t="shared" si="29"/>
        <v>#DIV/0!</v>
      </c>
      <c r="H48" s="48" t="e">
        <f t="shared" si="29"/>
        <v>#DIV/0!</v>
      </c>
      <c r="I48" s="48" t="e">
        <f t="shared" si="29"/>
        <v>#DIV/0!</v>
      </c>
      <c r="J48" s="48" t="e">
        <f t="shared" si="29"/>
        <v>#DIV/0!</v>
      </c>
      <c r="K48" s="48" t="e">
        <f t="shared" si="29"/>
        <v>#DIV/0!</v>
      </c>
      <c r="L48" s="48" t="e">
        <f t="shared" si="29"/>
        <v>#DIV/0!</v>
      </c>
      <c r="M48" s="48" t="e">
        <f t="shared" si="29"/>
        <v>#DIV/0!</v>
      </c>
      <c r="N48" s="48" t="e">
        <f t="shared" si="29"/>
        <v>#DIV/0!</v>
      </c>
      <c r="O48" s="48" t="e">
        <f t="shared" si="29"/>
        <v>#DIV/0!</v>
      </c>
      <c r="P48" s="48" t="e">
        <f t="shared" si="29"/>
        <v>#DIV/0!</v>
      </c>
      <c r="Q48" s="48" t="e">
        <f t="shared" si="29"/>
        <v>#DIV/0!</v>
      </c>
      <c r="R48" s="118"/>
      <c r="S48" s="1"/>
      <c r="T48" s="166"/>
      <c r="U48" s="36">
        <v>13</v>
      </c>
      <c r="V48" s="47" t="e">
        <f t="shared" ref="V48:AI48" si="30">W24/V24</f>
        <v>#DIV/0!</v>
      </c>
      <c r="W48" s="48" t="e">
        <f t="shared" si="30"/>
        <v>#DIV/0!</v>
      </c>
      <c r="X48" s="48" t="e">
        <f t="shared" si="30"/>
        <v>#DIV/0!</v>
      </c>
      <c r="Y48" s="48" t="e">
        <f t="shared" si="30"/>
        <v>#DIV/0!</v>
      </c>
      <c r="Z48" s="48" t="e">
        <f t="shared" si="30"/>
        <v>#DIV/0!</v>
      </c>
      <c r="AA48" s="48" t="e">
        <f t="shared" si="30"/>
        <v>#DIV/0!</v>
      </c>
      <c r="AB48" s="48" t="e">
        <f t="shared" si="30"/>
        <v>#DIV/0!</v>
      </c>
      <c r="AC48" s="48" t="e">
        <f t="shared" si="30"/>
        <v>#DIV/0!</v>
      </c>
      <c r="AD48" s="48" t="e">
        <f t="shared" si="30"/>
        <v>#DIV/0!</v>
      </c>
      <c r="AE48" s="48" t="e">
        <f t="shared" si="30"/>
        <v>#DIV/0!</v>
      </c>
      <c r="AF48" s="48" t="e">
        <f t="shared" si="30"/>
        <v>#DIV/0!</v>
      </c>
      <c r="AG48" s="48" t="e">
        <f t="shared" si="30"/>
        <v>#DIV/0!</v>
      </c>
      <c r="AH48" s="48" t="e">
        <f t="shared" si="30"/>
        <v>#DIV/0!</v>
      </c>
      <c r="AI48" s="48" t="e">
        <f t="shared" si="30"/>
        <v>#DIV/0!</v>
      </c>
      <c r="AJ48" s="70"/>
    </row>
    <row r="49" spans="2:36" x14ac:dyDescent="0.25">
      <c r="B49" s="166"/>
      <c r="C49" s="34">
        <v>14</v>
      </c>
      <c r="D49" s="47" t="e">
        <f t="shared" ref="D49:Q49" si="31">E25/D25</f>
        <v>#DIV/0!</v>
      </c>
      <c r="E49" s="48" t="e">
        <f t="shared" si="31"/>
        <v>#DIV/0!</v>
      </c>
      <c r="F49" s="48" t="e">
        <f t="shared" si="31"/>
        <v>#DIV/0!</v>
      </c>
      <c r="G49" s="48" t="e">
        <f t="shared" si="31"/>
        <v>#DIV/0!</v>
      </c>
      <c r="H49" s="48" t="e">
        <f t="shared" si="31"/>
        <v>#DIV/0!</v>
      </c>
      <c r="I49" s="48" t="e">
        <f t="shared" si="31"/>
        <v>#DIV/0!</v>
      </c>
      <c r="J49" s="48" t="e">
        <f t="shared" si="31"/>
        <v>#DIV/0!</v>
      </c>
      <c r="K49" s="48" t="e">
        <f t="shared" si="31"/>
        <v>#DIV/0!</v>
      </c>
      <c r="L49" s="48" t="e">
        <f t="shared" si="31"/>
        <v>#DIV/0!</v>
      </c>
      <c r="M49" s="48" t="e">
        <f t="shared" si="31"/>
        <v>#DIV/0!</v>
      </c>
      <c r="N49" s="48" t="e">
        <f t="shared" si="31"/>
        <v>#DIV/0!</v>
      </c>
      <c r="O49" s="48" t="e">
        <f t="shared" si="31"/>
        <v>#DIV/0!</v>
      </c>
      <c r="P49" s="48" t="e">
        <f t="shared" si="31"/>
        <v>#DIV/0!</v>
      </c>
      <c r="Q49" s="48" t="e">
        <f t="shared" si="31"/>
        <v>#DIV/0!</v>
      </c>
      <c r="R49" s="118"/>
      <c r="S49" s="1"/>
      <c r="T49" s="166"/>
      <c r="U49" s="36">
        <v>14</v>
      </c>
      <c r="V49" s="47" t="e">
        <f t="shared" ref="V49:AI49" si="32">W25/V25</f>
        <v>#DIV/0!</v>
      </c>
      <c r="W49" s="48" t="e">
        <f t="shared" si="32"/>
        <v>#DIV/0!</v>
      </c>
      <c r="X49" s="48" t="e">
        <f t="shared" si="32"/>
        <v>#DIV/0!</v>
      </c>
      <c r="Y49" s="48" t="e">
        <f t="shared" si="32"/>
        <v>#DIV/0!</v>
      </c>
      <c r="Z49" s="48" t="e">
        <f t="shared" si="32"/>
        <v>#DIV/0!</v>
      </c>
      <c r="AA49" s="48" t="e">
        <f t="shared" si="32"/>
        <v>#DIV/0!</v>
      </c>
      <c r="AB49" s="48" t="e">
        <f t="shared" si="32"/>
        <v>#DIV/0!</v>
      </c>
      <c r="AC49" s="48" t="e">
        <f t="shared" si="32"/>
        <v>#DIV/0!</v>
      </c>
      <c r="AD49" s="48" t="e">
        <f t="shared" si="32"/>
        <v>#DIV/0!</v>
      </c>
      <c r="AE49" s="48" t="e">
        <f t="shared" si="32"/>
        <v>#DIV/0!</v>
      </c>
      <c r="AF49" s="48" t="e">
        <f t="shared" si="32"/>
        <v>#DIV/0!</v>
      </c>
      <c r="AG49" s="48" t="e">
        <f t="shared" si="32"/>
        <v>#DIV/0!</v>
      </c>
      <c r="AH49" s="48" t="e">
        <f t="shared" si="32"/>
        <v>#DIV/0!</v>
      </c>
      <c r="AI49" s="48" t="e">
        <f t="shared" si="32"/>
        <v>#DIV/0!</v>
      </c>
      <c r="AJ49" s="70"/>
    </row>
    <row r="50" spans="2:36" x14ac:dyDescent="0.25">
      <c r="B50" s="166"/>
      <c r="C50" s="34">
        <v>15</v>
      </c>
      <c r="D50" s="47" t="e">
        <f t="shared" ref="D50:Q50" si="33">E26/D26</f>
        <v>#DIV/0!</v>
      </c>
      <c r="E50" s="48" t="e">
        <f t="shared" si="33"/>
        <v>#DIV/0!</v>
      </c>
      <c r="F50" s="48" t="e">
        <f t="shared" si="33"/>
        <v>#DIV/0!</v>
      </c>
      <c r="G50" s="48" t="e">
        <f t="shared" si="33"/>
        <v>#DIV/0!</v>
      </c>
      <c r="H50" s="48" t="e">
        <f t="shared" si="33"/>
        <v>#DIV/0!</v>
      </c>
      <c r="I50" s="48" t="e">
        <f t="shared" si="33"/>
        <v>#DIV/0!</v>
      </c>
      <c r="J50" s="48" t="e">
        <f t="shared" si="33"/>
        <v>#DIV/0!</v>
      </c>
      <c r="K50" s="48" t="e">
        <f t="shared" si="33"/>
        <v>#DIV/0!</v>
      </c>
      <c r="L50" s="48" t="e">
        <f t="shared" si="33"/>
        <v>#DIV/0!</v>
      </c>
      <c r="M50" s="48" t="e">
        <f t="shared" si="33"/>
        <v>#DIV/0!</v>
      </c>
      <c r="N50" s="48" t="e">
        <f t="shared" si="33"/>
        <v>#DIV/0!</v>
      </c>
      <c r="O50" s="48" t="e">
        <f t="shared" si="33"/>
        <v>#DIV/0!</v>
      </c>
      <c r="P50" s="48" t="e">
        <f t="shared" si="33"/>
        <v>#DIV/0!</v>
      </c>
      <c r="Q50" s="48" t="e">
        <f t="shared" si="33"/>
        <v>#DIV/0!</v>
      </c>
      <c r="R50" s="118"/>
      <c r="S50" s="1"/>
      <c r="T50" s="166"/>
      <c r="U50" s="36">
        <v>15</v>
      </c>
      <c r="V50" s="47" t="e">
        <f t="shared" ref="V50:AI50" si="34">W26/V26</f>
        <v>#DIV/0!</v>
      </c>
      <c r="W50" s="48" t="e">
        <f t="shared" si="34"/>
        <v>#DIV/0!</v>
      </c>
      <c r="X50" s="48" t="e">
        <f t="shared" si="34"/>
        <v>#DIV/0!</v>
      </c>
      <c r="Y50" s="48" t="e">
        <f t="shared" si="34"/>
        <v>#DIV/0!</v>
      </c>
      <c r="Z50" s="48" t="e">
        <f t="shared" si="34"/>
        <v>#DIV/0!</v>
      </c>
      <c r="AA50" s="48" t="e">
        <f t="shared" si="34"/>
        <v>#DIV/0!</v>
      </c>
      <c r="AB50" s="48" t="e">
        <f t="shared" si="34"/>
        <v>#DIV/0!</v>
      </c>
      <c r="AC50" s="48" t="e">
        <f t="shared" si="34"/>
        <v>#DIV/0!</v>
      </c>
      <c r="AD50" s="48" t="e">
        <f t="shared" si="34"/>
        <v>#DIV/0!</v>
      </c>
      <c r="AE50" s="48" t="e">
        <f t="shared" si="34"/>
        <v>#DIV/0!</v>
      </c>
      <c r="AF50" s="48" t="e">
        <f t="shared" si="34"/>
        <v>#DIV/0!</v>
      </c>
      <c r="AG50" s="48" t="e">
        <f t="shared" si="34"/>
        <v>#DIV/0!</v>
      </c>
      <c r="AH50" s="48" t="e">
        <f t="shared" si="34"/>
        <v>#DIV/0!</v>
      </c>
      <c r="AI50" s="48" t="e">
        <f t="shared" si="34"/>
        <v>#DIV/0!</v>
      </c>
      <c r="AJ50" s="70"/>
    </row>
    <row r="51" spans="2:36" x14ac:dyDescent="0.25">
      <c r="B51" s="166"/>
      <c r="C51" s="34">
        <v>16</v>
      </c>
      <c r="D51" s="47" t="e">
        <f t="shared" ref="D51:Q51" si="35">E27/D27</f>
        <v>#DIV/0!</v>
      </c>
      <c r="E51" s="48" t="e">
        <f t="shared" si="35"/>
        <v>#DIV/0!</v>
      </c>
      <c r="F51" s="48" t="e">
        <f t="shared" si="35"/>
        <v>#DIV/0!</v>
      </c>
      <c r="G51" s="48" t="e">
        <f t="shared" si="35"/>
        <v>#DIV/0!</v>
      </c>
      <c r="H51" s="48" t="e">
        <f t="shared" si="35"/>
        <v>#DIV/0!</v>
      </c>
      <c r="I51" s="48" t="e">
        <f t="shared" si="35"/>
        <v>#DIV/0!</v>
      </c>
      <c r="J51" s="48" t="e">
        <f t="shared" si="35"/>
        <v>#DIV/0!</v>
      </c>
      <c r="K51" s="48" t="e">
        <f t="shared" si="35"/>
        <v>#DIV/0!</v>
      </c>
      <c r="L51" s="48" t="e">
        <f t="shared" si="35"/>
        <v>#DIV/0!</v>
      </c>
      <c r="M51" s="48" t="e">
        <f t="shared" si="35"/>
        <v>#DIV/0!</v>
      </c>
      <c r="N51" s="48" t="e">
        <f t="shared" si="35"/>
        <v>#DIV/0!</v>
      </c>
      <c r="O51" s="48" t="e">
        <f t="shared" si="35"/>
        <v>#DIV/0!</v>
      </c>
      <c r="P51" s="48" t="e">
        <f t="shared" si="35"/>
        <v>#DIV/0!</v>
      </c>
      <c r="Q51" s="48" t="e">
        <f t="shared" si="35"/>
        <v>#DIV/0!</v>
      </c>
      <c r="R51" s="118"/>
      <c r="S51" s="1"/>
      <c r="T51" s="166"/>
      <c r="U51" s="36">
        <v>16</v>
      </c>
      <c r="V51" s="47" t="e">
        <f t="shared" ref="V51:AI51" si="36">W27/V27</f>
        <v>#DIV/0!</v>
      </c>
      <c r="W51" s="48" t="e">
        <f t="shared" si="36"/>
        <v>#DIV/0!</v>
      </c>
      <c r="X51" s="48" t="e">
        <f t="shared" si="36"/>
        <v>#DIV/0!</v>
      </c>
      <c r="Y51" s="48" t="e">
        <f t="shared" si="36"/>
        <v>#DIV/0!</v>
      </c>
      <c r="Z51" s="48" t="e">
        <f t="shared" si="36"/>
        <v>#DIV/0!</v>
      </c>
      <c r="AA51" s="48" t="e">
        <f t="shared" si="36"/>
        <v>#DIV/0!</v>
      </c>
      <c r="AB51" s="48" t="e">
        <f t="shared" si="36"/>
        <v>#DIV/0!</v>
      </c>
      <c r="AC51" s="48" t="e">
        <f t="shared" si="36"/>
        <v>#DIV/0!</v>
      </c>
      <c r="AD51" s="48" t="e">
        <f t="shared" si="36"/>
        <v>#DIV/0!</v>
      </c>
      <c r="AE51" s="48" t="e">
        <f t="shared" si="36"/>
        <v>#DIV/0!</v>
      </c>
      <c r="AF51" s="48" t="e">
        <f t="shared" si="36"/>
        <v>#DIV/0!</v>
      </c>
      <c r="AG51" s="48" t="e">
        <f t="shared" si="36"/>
        <v>#DIV/0!</v>
      </c>
      <c r="AH51" s="48" t="e">
        <f t="shared" si="36"/>
        <v>#DIV/0!</v>
      </c>
      <c r="AI51" s="48" t="e">
        <f t="shared" si="36"/>
        <v>#DIV/0!</v>
      </c>
      <c r="AJ51" s="70"/>
    </row>
    <row r="52" spans="2:36" x14ac:dyDescent="0.25">
      <c r="B52" s="166"/>
      <c r="C52" s="34">
        <v>17</v>
      </c>
      <c r="D52" s="47" t="e">
        <f t="shared" ref="D52:Q52" si="37">E28/D28</f>
        <v>#DIV/0!</v>
      </c>
      <c r="E52" s="48" t="e">
        <f t="shared" si="37"/>
        <v>#DIV/0!</v>
      </c>
      <c r="F52" s="48" t="e">
        <f t="shared" si="37"/>
        <v>#DIV/0!</v>
      </c>
      <c r="G52" s="48" t="e">
        <f t="shared" si="37"/>
        <v>#DIV/0!</v>
      </c>
      <c r="H52" s="48" t="e">
        <f t="shared" si="37"/>
        <v>#DIV/0!</v>
      </c>
      <c r="I52" s="48" t="e">
        <f t="shared" si="37"/>
        <v>#DIV/0!</v>
      </c>
      <c r="J52" s="48" t="e">
        <f t="shared" si="37"/>
        <v>#DIV/0!</v>
      </c>
      <c r="K52" s="48" t="e">
        <f t="shared" si="37"/>
        <v>#DIV/0!</v>
      </c>
      <c r="L52" s="48" t="e">
        <f t="shared" si="37"/>
        <v>#DIV/0!</v>
      </c>
      <c r="M52" s="48" t="e">
        <f t="shared" si="37"/>
        <v>#DIV/0!</v>
      </c>
      <c r="N52" s="48" t="e">
        <f t="shared" si="37"/>
        <v>#DIV/0!</v>
      </c>
      <c r="O52" s="48" t="e">
        <f t="shared" si="37"/>
        <v>#DIV/0!</v>
      </c>
      <c r="P52" s="48" t="e">
        <f t="shared" si="37"/>
        <v>#DIV/0!</v>
      </c>
      <c r="Q52" s="48" t="e">
        <f t="shared" si="37"/>
        <v>#DIV/0!</v>
      </c>
      <c r="R52" s="118"/>
      <c r="S52" s="1"/>
      <c r="T52" s="166"/>
      <c r="U52" s="36">
        <v>17</v>
      </c>
      <c r="V52" s="47" t="e">
        <f t="shared" ref="V52:AI52" si="38">W28/V28</f>
        <v>#DIV/0!</v>
      </c>
      <c r="W52" s="48" t="e">
        <f t="shared" si="38"/>
        <v>#DIV/0!</v>
      </c>
      <c r="X52" s="48" t="e">
        <f t="shared" si="38"/>
        <v>#DIV/0!</v>
      </c>
      <c r="Y52" s="48" t="e">
        <f t="shared" si="38"/>
        <v>#DIV/0!</v>
      </c>
      <c r="Z52" s="48" t="e">
        <f t="shared" si="38"/>
        <v>#DIV/0!</v>
      </c>
      <c r="AA52" s="48" t="e">
        <f t="shared" si="38"/>
        <v>#DIV/0!</v>
      </c>
      <c r="AB52" s="48" t="e">
        <f t="shared" si="38"/>
        <v>#DIV/0!</v>
      </c>
      <c r="AC52" s="48" t="e">
        <f t="shared" si="38"/>
        <v>#DIV/0!</v>
      </c>
      <c r="AD52" s="48" t="e">
        <f t="shared" si="38"/>
        <v>#DIV/0!</v>
      </c>
      <c r="AE52" s="48" t="e">
        <f t="shared" si="38"/>
        <v>#DIV/0!</v>
      </c>
      <c r="AF52" s="48" t="e">
        <f t="shared" si="38"/>
        <v>#DIV/0!</v>
      </c>
      <c r="AG52" s="48" t="e">
        <f t="shared" si="38"/>
        <v>#DIV/0!</v>
      </c>
      <c r="AH52" s="48" t="e">
        <f t="shared" si="38"/>
        <v>#DIV/0!</v>
      </c>
      <c r="AI52" s="48" t="e">
        <f t="shared" si="38"/>
        <v>#DIV/0!</v>
      </c>
      <c r="AJ52" s="70"/>
    </row>
    <row r="53" spans="2:36" x14ac:dyDescent="0.25">
      <c r="B53" s="166"/>
      <c r="C53" s="34">
        <v>18</v>
      </c>
      <c r="D53" s="47" t="e">
        <f t="shared" ref="D53:Q53" si="39">E29/D29</f>
        <v>#DIV/0!</v>
      </c>
      <c r="E53" s="48" t="e">
        <f t="shared" si="39"/>
        <v>#DIV/0!</v>
      </c>
      <c r="F53" s="48" t="e">
        <f t="shared" si="39"/>
        <v>#DIV/0!</v>
      </c>
      <c r="G53" s="48" t="e">
        <f t="shared" si="39"/>
        <v>#DIV/0!</v>
      </c>
      <c r="H53" s="48" t="e">
        <f t="shared" si="39"/>
        <v>#DIV/0!</v>
      </c>
      <c r="I53" s="48" t="e">
        <f t="shared" si="39"/>
        <v>#DIV/0!</v>
      </c>
      <c r="J53" s="48" t="e">
        <f t="shared" si="39"/>
        <v>#DIV/0!</v>
      </c>
      <c r="K53" s="48" t="e">
        <f t="shared" si="39"/>
        <v>#DIV/0!</v>
      </c>
      <c r="L53" s="48" t="e">
        <f t="shared" si="39"/>
        <v>#DIV/0!</v>
      </c>
      <c r="M53" s="48" t="e">
        <f t="shared" si="39"/>
        <v>#DIV/0!</v>
      </c>
      <c r="N53" s="48" t="e">
        <f t="shared" si="39"/>
        <v>#DIV/0!</v>
      </c>
      <c r="O53" s="48" t="e">
        <f t="shared" si="39"/>
        <v>#DIV/0!</v>
      </c>
      <c r="P53" s="48" t="e">
        <f t="shared" si="39"/>
        <v>#DIV/0!</v>
      </c>
      <c r="Q53" s="48" t="e">
        <f t="shared" si="39"/>
        <v>#DIV/0!</v>
      </c>
      <c r="R53" s="118"/>
      <c r="S53" s="1"/>
      <c r="T53" s="166"/>
      <c r="U53" s="36">
        <v>18</v>
      </c>
      <c r="V53" s="47" t="e">
        <f t="shared" ref="V53:AI53" si="40">W29/V29</f>
        <v>#DIV/0!</v>
      </c>
      <c r="W53" s="48" t="e">
        <f t="shared" si="40"/>
        <v>#DIV/0!</v>
      </c>
      <c r="X53" s="48" t="e">
        <f t="shared" si="40"/>
        <v>#DIV/0!</v>
      </c>
      <c r="Y53" s="48" t="e">
        <f t="shared" si="40"/>
        <v>#DIV/0!</v>
      </c>
      <c r="Z53" s="48" t="e">
        <f t="shared" si="40"/>
        <v>#DIV/0!</v>
      </c>
      <c r="AA53" s="48" t="e">
        <f t="shared" si="40"/>
        <v>#DIV/0!</v>
      </c>
      <c r="AB53" s="48" t="e">
        <f t="shared" si="40"/>
        <v>#DIV/0!</v>
      </c>
      <c r="AC53" s="48" t="e">
        <f t="shared" si="40"/>
        <v>#DIV/0!</v>
      </c>
      <c r="AD53" s="48" t="e">
        <f t="shared" si="40"/>
        <v>#DIV/0!</v>
      </c>
      <c r="AE53" s="48" t="e">
        <f t="shared" si="40"/>
        <v>#DIV/0!</v>
      </c>
      <c r="AF53" s="48" t="e">
        <f t="shared" si="40"/>
        <v>#DIV/0!</v>
      </c>
      <c r="AG53" s="48" t="e">
        <f t="shared" si="40"/>
        <v>#DIV/0!</v>
      </c>
      <c r="AH53" s="48" t="e">
        <f t="shared" si="40"/>
        <v>#DIV/0!</v>
      </c>
      <c r="AI53" s="48" t="e">
        <f t="shared" si="40"/>
        <v>#DIV/0!</v>
      </c>
      <c r="AJ53" s="70"/>
    </row>
    <row r="54" spans="2:36" x14ac:dyDescent="0.25">
      <c r="B54" s="166"/>
      <c r="C54" s="34">
        <v>19</v>
      </c>
      <c r="D54" s="47" t="e">
        <f t="shared" ref="D54:Q54" si="41">E30/D30</f>
        <v>#DIV/0!</v>
      </c>
      <c r="E54" s="48" t="e">
        <f t="shared" si="41"/>
        <v>#DIV/0!</v>
      </c>
      <c r="F54" s="48" t="e">
        <f t="shared" si="41"/>
        <v>#DIV/0!</v>
      </c>
      <c r="G54" s="48" t="e">
        <f t="shared" si="41"/>
        <v>#DIV/0!</v>
      </c>
      <c r="H54" s="48" t="e">
        <f t="shared" si="41"/>
        <v>#DIV/0!</v>
      </c>
      <c r="I54" s="48" t="e">
        <f t="shared" si="41"/>
        <v>#DIV/0!</v>
      </c>
      <c r="J54" s="48" t="e">
        <f t="shared" si="41"/>
        <v>#DIV/0!</v>
      </c>
      <c r="K54" s="48" t="e">
        <f t="shared" si="41"/>
        <v>#DIV/0!</v>
      </c>
      <c r="L54" s="48" t="e">
        <f t="shared" si="41"/>
        <v>#DIV/0!</v>
      </c>
      <c r="M54" s="48" t="e">
        <f t="shared" si="41"/>
        <v>#DIV/0!</v>
      </c>
      <c r="N54" s="48" t="e">
        <f t="shared" si="41"/>
        <v>#DIV/0!</v>
      </c>
      <c r="O54" s="48" t="e">
        <f t="shared" si="41"/>
        <v>#DIV/0!</v>
      </c>
      <c r="P54" s="48" t="e">
        <f t="shared" si="41"/>
        <v>#DIV/0!</v>
      </c>
      <c r="Q54" s="48" t="e">
        <f t="shared" si="41"/>
        <v>#DIV/0!</v>
      </c>
      <c r="R54" s="118"/>
      <c r="S54" s="1"/>
      <c r="T54" s="166"/>
      <c r="U54" s="36">
        <v>19</v>
      </c>
      <c r="V54" s="47" t="e">
        <f t="shared" ref="V54:AI54" si="42">W30/V30</f>
        <v>#DIV/0!</v>
      </c>
      <c r="W54" s="48" t="e">
        <f t="shared" si="42"/>
        <v>#DIV/0!</v>
      </c>
      <c r="X54" s="48" t="e">
        <f t="shared" si="42"/>
        <v>#DIV/0!</v>
      </c>
      <c r="Y54" s="48" t="e">
        <f t="shared" si="42"/>
        <v>#DIV/0!</v>
      </c>
      <c r="Z54" s="48" t="e">
        <f t="shared" si="42"/>
        <v>#DIV/0!</v>
      </c>
      <c r="AA54" s="48" t="e">
        <f t="shared" si="42"/>
        <v>#DIV/0!</v>
      </c>
      <c r="AB54" s="48" t="e">
        <f t="shared" si="42"/>
        <v>#DIV/0!</v>
      </c>
      <c r="AC54" s="48" t="e">
        <f t="shared" si="42"/>
        <v>#DIV/0!</v>
      </c>
      <c r="AD54" s="48" t="e">
        <f t="shared" si="42"/>
        <v>#DIV/0!</v>
      </c>
      <c r="AE54" s="48" t="e">
        <f t="shared" si="42"/>
        <v>#DIV/0!</v>
      </c>
      <c r="AF54" s="48" t="e">
        <f t="shared" si="42"/>
        <v>#DIV/0!</v>
      </c>
      <c r="AG54" s="48" t="e">
        <f t="shared" si="42"/>
        <v>#DIV/0!</v>
      </c>
      <c r="AH54" s="48" t="e">
        <f t="shared" si="42"/>
        <v>#DIV/0!</v>
      </c>
      <c r="AI54" s="48" t="e">
        <f t="shared" si="42"/>
        <v>#DIV/0!</v>
      </c>
      <c r="AJ54" s="70"/>
    </row>
    <row r="55" spans="2:36" x14ac:dyDescent="0.25">
      <c r="B55" s="167"/>
      <c r="C55" s="34">
        <v>20</v>
      </c>
      <c r="D55" s="54" t="e">
        <f t="shared" ref="D55:Q55" si="43">E31/D31</f>
        <v>#DIV/0!</v>
      </c>
      <c r="E55" s="50" t="e">
        <f t="shared" si="43"/>
        <v>#DIV/0!</v>
      </c>
      <c r="F55" s="50" t="e">
        <f t="shared" si="43"/>
        <v>#DIV/0!</v>
      </c>
      <c r="G55" s="50" t="e">
        <f t="shared" si="43"/>
        <v>#DIV/0!</v>
      </c>
      <c r="H55" s="50" t="e">
        <f t="shared" si="43"/>
        <v>#DIV/0!</v>
      </c>
      <c r="I55" s="50" t="e">
        <f t="shared" si="43"/>
        <v>#DIV/0!</v>
      </c>
      <c r="J55" s="50" t="e">
        <f t="shared" si="43"/>
        <v>#DIV/0!</v>
      </c>
      <c r="K55" s="50" t="e">
        <f t="shared" si="43"/>
        <v>#DIV/0!</v>
      </c>
      <c r="L55" s="50" t="e">
        <f t="shared" si="43"/>
        <v>#DIV/0!</v>
      </c>
      <c r="M55" s="50" t="e">
        <f t="shared" si="43"/>
        <v>#DIV/0!</v>
      </c>
      <c r="N55" s="50" t="e">
        <f t="shared" si="43"/>
        <v>#DIV/0!</v>
      </c>
      <c r="O55" s="50" t="e">
        <f t="shared" si="43"/>
        <v>#DIV/0!</v>
      </c>
      <c r="P55" s="50" t="e">
        <f t="shared" si="43"/>
        <v>#DIV/0!</v>
      </c>
      <c r="Q55" s="50" t="e">
        <f t="shared" si="43"/>
        <v>#DIV/0!</v>
      </c>
      <c r="R55" s="118"/>
      <c r="S55" s="1"/>
      <c r="T55" s="167"/>
      <c r="U55" s="36">
        <v>20</v>
      </c>
      <c r="V55" s="54" t="e">
        <f t="shared" ref="V55:AI55" si="44">W31/V31</f>
        <v>#DIV/0!</v>
      </c>
      <c r="W55" s="50" t="e">
        <f t="shared" si="44"/>
        <v>#DIV/0!</v>
      </c>
      <c r="X55" s="50" t="e">
        <f t="shared" si="44"/>
        <v>#DIV/0!</v>
      </c>
      <c r="Y55" s="50" t="e">
        <f t="shared" si="44"/>
        <v>#DIV/0!</v>
      </c>
      <c r="Z55" s="50" t="e">
        <f t="shared" si="44"/>
        <v>#DIV/0!</v>
      </c>
      <c r="AA55" s="50" t="e">
        <f t="shared" si="44"/>
        <v>#DIV/0!</v>
      </c>
      <c r="AB55" s="50" t="e">
        <f t="shared" si="44"/>
        <v>#DIV/0!</v>
      </c>
      <c r="AC55" s="50" t="e">
        <f t="shared" si="44"/>
        <v>#DIV/0!</v>
      </c>
      <c r="AD55" s="50" t="e">
        <f t="shared" si="44"/>
        <v>#DIV/0!</v>
      </c>
      <c r="AE55" s="50" t="e">
        <f t="shared" si="44"/>
        <v>#DIV/0!</v>
      </c>
      <c r="AF55" s="50" t="e">
        <f t="shared" si="44"/>
        <v>#DIV/0!</v>
      </c>
      <c r="AG55" s="50" t="e">
        <f t="shared" si="44"/>
        <v>#DIV/0!</v>
      </c>
      <c r="AH55" s="50" t="e">
        <f t="shared" si="44"/>
        <v>#DIV/0!</v>
      </c>
      <c r="AI55" s="50" t="e">
        <f t="shared" si="44"/>
        <v>#DIV/0!</v>
      </c>
      <c r="AJ55" s="70"/>
    </row>
    <row r="56" spans="2:36" ht="17.25" customHeight="1" x14ac:dyDescent="0.25">
      <c r="B56" s="161" t="s">
        <v>48</v>
      </c>
      <c r="C56" s="161"/>
      <c r="D56" s="129" t="e">
        <f t="shared" ref="D56:Q56" si="45">STDEV(D40:D55)</f>
        <v>#DIV/0!</v>
      </c>
      <c r="E56" s="129" t="e">
        <f t="shared" si="45"/>
        <v>#DIV/0!</v>
      </c>
      <c r="F56" s="129" t="e">
        <f t="shared" si="45"/>
        <v>#DIV/0!</v>
      </c>
      <c r="G56" s="129" t="e">
        <f t="shared" si="45"/>
        <v>#DIV/0!</v>
      </c>
      <c r="H56" s="129" t="e">
        <f t="shared" si="45"/>
        <v>#DIV/0!</v>
      </c>
      <c r="I56" s="129" t="e">
        <f t="shared" si="45"/>
        <v>#DIV/0!</v>
      </c>
      <c r="J56" s="129" t="e">
        <f t="shared" si="45"/>
        <v>#DIV/0!</v>
      </c>
      <c r="K56" s="129" t="e">
        <f t="shared" si="45"/>
        <v>#DIV/0!</v>
      </c>
      <c r="L56" s="129" t="e">
        <f t="shared" si="45"/>
        <v>#DIV/0!</v>
      </c>
      <c r="M56" s="129" t="e">
        <f t="shared" si="45"/>
        <v>#DIV/0!</v>
      </c>
      <c r="N56" s="129" t="e">
        <f t="shared" si="45"/>
        <v>#DIV/0!</v>
      </c>
      <c r="O56" s="129" t="e">
        <f t="shared" si="45"/>
        <v>#DIV/0!</v>
      </c>
      <c r="P56" s="129" t="e">
        <f t="shared" si="45"/>
        <v>#DIV/0!</v>
      </c>
      <c r="Q56" s="129" t="e">
        <f t="shared" si="45"/>
        <v>#DIV/0!</v>
      </c>
      <c r="R56" s="1"/>
      <c r="S56" s="1"/>
      <c r="T56" s="161" t="s">
        <v>48</v>
      </c>
      <c r="U56" s="161"/>
      <c r="V56" s="129" t="e">
        <f t="shared" ref="V56:AI56" si="46">STDEV(V40:V55)</f>
        <v>#DIV/0!</v>
      </c>
      <c r="W56" s="129" t="e">
        <f t="shared" si="46"/>
        <v>#DIV/0!</v>
      </c>
      <c r="X56" s="129" t="e">
        <f t="shared" si="46"/>
        <v>#DIV/0!</v>
      </c>
      <c r="Y56" s="129" t="e">
        <f t="shared" si="46"/>
        <v>#DIV/0!</v>
      </c>
      <c r="Z56" s="129" t="e">
        <f t="shared" si="46"/>
        <v>#DIV/0!</v>
      </c>
      <c r="AA56" s="129" t="e">
        <f t="shared" si="46"/>
        <v>#DIV/0!</v>
      </c>
      <c r="AB56" s="129" t="e">
        <f t="shared" si="46"/>
        <v>#DIV/0!</v>
      </c>
      <c r="AC56" s="129" t="e">
        <f t="shared" si="46"/>
        <v>#DIV/0!</v>
      </c>
      <c r="AD56" s="129" t="e">
        <f t="shared" si="46"/>
        <v>#DIV/0!</v>
      </c>
      <c r="AE56" s="129" t="e">
        <f t="shared" si="46"/>
        <v>#DIV/0!</v>
      </c>
      <c r="AF56" s="129" t="e">
        <f t="shared" si="46"/>
        <v>#DIV/0!</v>
      </c>
      <c r="AG56" s="129" t="e">
        <f t="shared" si="46"/>
        <v>#DIV/0!</v>
      </c>
      <c r="AH56" s="129" t="e">
        <f t="shared" si="46"/>
        <v>#DIV/0!</v>
      </c>
      <c r="AI56" s="129" t="e">
        <f t="shared" si="46"/>
        <v>#DIV/0!</v>
      </c>
      <c r="AJ56" s="1"/>
    </row>
    <row r="57" spans="2:36" x14ac:dyDescent="0.25">
      <c r="B57" s="1"/>
      <c r="C57" s="1"/>
      <c r="R57" s="1"/>
      <c r="S57" s="1"/>
      <c r="T57" s="1"/>
      <c r="U57" s="1"/>
      <c r="AJ57" s="62"/>
    </row>
    <row r="79" spans="37:54" x14ac:dyDescent="0.25">
      <c r="AK79" s="62"/>
    </row>
    <row r="80" spans="37:54" x14ac:dyDescent="0.25">
      <c r="AL80" s="121"/>
      <c r="AM80" s="121"/>
      <c r="BB80" s="62"/>
    </row>
  </sheetData>
  <mergeCells count="20">
    <mergeCell ref="T3:T4"/>
    <mergeCell ref="B34:Q34"/>
    <mergeCell ref="B32:C32"/>
    <mergeCell ref="T32:U32"/>
    <mergeCell ref="B56:C56"/>
    <mergeCell ref="T56:U56"/>
    <mergeCell ref="B2:R8"/>
    <mergeCell ref="T2:AJ2"/>
    <mergeCell ref="T36:T39"/>
    <mergeCell ref="B36:B39"/>
    <mergeCell ref="B40:B55"/>
    <mergeCell ref="T40:T55"/>
    <mergeCell ref="T5:T8"/>
    <mergeCell ref="B16:B31"/>
    <mergeCell ref="B12:B15"/>
    <mergeCell ref="T12:T15"/>
    <mergeCell ref="T34:AI34"/>
    <mergeCell ref="T16:T31"/>
    <mergeCell ref="B10:R10"/>
    <mergeCell ref="T10:AJ10"/>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784E8-B9F8-4D8C-8C54-01031CA6F36D}">
  <sheetPr codeName="工作表3"/>
  <dimension ref="A2:BC80"/>
  <sheetViews>
    <sheetView zoomScale="80" zoomScaleNormal="80" workbookViewId="0"/>
  </sheetViews>
  <sheetFormatPr defaultRowHeight="16.5" x14ac:dyDescent="0.25"/>
  <cols>
    <col min="1" max="1" width="3.375" customWidth="1"/>
    <col min="6" max="6" width="9.625" bestFit="1" customWidth="1"/>
    <col min="19" max="19" width="3.375" customWidth="1"/>
    <col min="37" max="38" width="9" customWidth="1"/>
  </cols>
  <sheetData>
    <row r="2" spans="2:55" x14ac:dyDescent="0.25">
      <c r="B2" s="162" t="s">
        <v>52</v>
      </c>
      <c r="C2" s="163"/>
      <c r="D2" s="163"/>
      <c r="E2" s="163"/>
      <c r="F2" s="163"/>
      <c r="G2" s="163"/>
      <c r="H2" s="163"/>
      <c r="I2" s="163"/>
      <c r="J2" s="163"/>
      <c r="K2" s="163"/>
      <c r="L2" s="163"/>
      <c r="M2" s="163"/>
      <c r="N2" s="163"/>
      <c r="O2" s="163"/>
      <c r="P2" s="163"/>
      <c r="Q2" s="163"/>
      <c r="R2" s="163"/>
      <c r="T2" s="173" t="s">
        <v>54</v>
      </c>
      <c r="U2" s="173"/>
      <c r="V2" s="173"/>
      <c r="W2" s="173"/>
      <c r="X2" s="173"/>
      <c r="Y2" s="173"/>
      <c r="Z2" s="173"/>
      <c r="AA2" s="173"/>
      <c r="AB2" s="173"/>
      <c r="AC2" s="173"/>
      <c r="AD2" s="173"/>
      <c r="AE2" s="173"/>
      <c r="AF2" s="173"/>
      <c r="AG2" s="173"/>
      <c r="AH2" s="173"/>
      <c r="AI2" s="173"/>
      <c r="AJ2" s="173"/>
    </row>
    <row r="3" spans="2:55" ht="16.5" customHeight="1" x14ac:dyDescent="0.25">
      <c r="B3" s="163"/>
      <c r="C3" s="163"/>
      <c r="D3" s="163"/>
      <c r="E3" s="163"/>
      <c r="F3" s="163"/>
      <c r="G3" s="163"/>
      <c r="H3" s="163"/>
      <c r="I3" s="163"/>
      <c r="J3" s="163"/>
      <c r="K3" s="163"/>
      <c r="L3" s="163"/>
      <c r="M3" s="163"/>
      <c r="N3" s="163"/>
      <c r="O3" s="163"/>
      <c r="P3" s="163"/>
      <c r="Q3" s="163"/>
      <c r="R3" s="163"/>
      <c r="T3" s="161" t="s">
        <v>26</v>
      </c>
      <c r="U3" s="40" t="s">
        <v>0</v>
      </c>
      <c r="V3" s="136">
        <v>2</v>
      </c>
      <c r="W3" s="136">
        <v>5</v>
      </c>
      <c r="X3" s="136">
        <v>10</v>
      </c>
      <c r="Y3" s="136">
        <v>20</v>
      </c>
      <c r="Z3" s="136">
        <v>50</v>
      </c>
      <c r="AA3" s="136">
        <v>100</v>
      </c>
      <c r="AB3" s="136">
        <v>200</v>
      </c>
      <c r="AC3" s="136">
        <v>300</v>
      </c>
      <c r="AD3" s="136">
        <v>400</v>
      </c>
      <c r="AE3" s="136">
        <v>500</v>
      </c>
      <c r="AF3" s="136">
        <v>600</v>
      </c>
      <c r="AG3" s="136">
        <v>700</v>
      </c>
      <c r="AH3" s="136">
        <v>800</v>
      </c>
      <c r="AI3" s="136">
        <v>900</v>
      </c>
      <c r="AJ3" s="136">
        <v>1000</v>
      </c>
    </row>
    <row r="4" spans="2:55" ht="16.5" customHeight="1" x14ac:dyDescent="0.25">
      <c r="B4" s="163"/>
      <c r="C4" s="163"/>
      <c r="D4" s="163"/>
      <c r="E4" s="163"/>
      <c r="F4" s="163"/>
      <c r="G4" s="163"/>
      <c r="H4" s="163"/>
      <c r="I4" s="163"/>
      <c r="J4" s="163"/>
      <c r="K4" s="163"/>
      <c r="L4" s="163"/>
      <c r="M4" s="163"/>
      <c r="N4" s="163"/>
      <c r="O4" s="163"/>
      <c r="P4" s="163"/>
      <c r="Q4" s="163"/>
      <c r="R4" s="163"/>
      <c r="T4" s="161"/>
      <c r="U4" s="136" t="s">
        <v>31</v>
      </c>
      <c r="V4" s="136">
        <v>399</v>
      </c>
      <c r="W4" s="136">
        <v>377</v>
      </c>
      <c r="X4" s="136">
        <v>355</v>
      </c>
      <c r="Y4" s="136">
        <v>340</v>
      </c>
      <c r="Z4" s="136">
        <v>303</v>
      </c>
      <c r="AA4" s="136">
        <v>278</v>
      </c>
      <c r="AB4" s="136">
        <v>255</v>
      </c>
      <c r="AC4" s="136">
        <v>241</v>
      </c>
      <c r="AD4" s="136">
        <v>231</v>
      </c>
      <c r="AE4" s="136">
        <v>224</v>
      </c>
      <c r="AF4" s="136">
        <v>215</v>
      </c>
      <c r="AG4" s="136">
        <v>211</v>
      </c>
      <c r="AH4" s="136">
        <v>206</v>
      </c>
      <c r="AI4" s="136">
        <v>203</v>
      </c>
      <c r="AJ4" s="136">
        <v>199</v>
      </c>
    </row>
    <row r="5" spans="2:55" ht="16.5" customHeight="1" x14ac:dyDescent="0.25">
      <c r="B5" s="163"/>
      <c r="C5" s="163"/>
      <c r="D5" s="163"/>
      <c r="E5" s="163"/>
      <c r="F5" s="163"/>
      <c r="G5" s="163"/>
      <c r="H5" s="163"/>
      <c r="I5" s="163"/>
      <c r="J5" s="163"/>
      <c r="K5" s="163"/>
      <c r="L5" s="163"/>
      <c r="M5" s="163"/>
      <c r="N5" s="163"/>
      <c r="O5" s="163"/>
      <c r="P5" s="163"/>
      <c r="Q5" s="163"/>
      <c r="R5" s="163"/>
      <c r="T5" s="165" t="s">
        <v>3</v>
      </c>
      <c r="U5" s="136">
        <v>1</v>
      </c>
      <c r="V5" s="4">
        <f>V12-D12</f>
        <v>0</v>
      </c>
      <c r="W5" s="4">
        <f t="shared" ref="W5:AJ8" si="0">W12-E12</f>
        <v>0</v>
      </c>
      <c r="X5" s="4">
        <f t="shared" si="0"/>
        <v>0</v>
      </c>
      <c r="Y5" s="4">
        <f t="shared" si="0"/>
        <v>0</v>
      </c>
      <c r="Z5" s="4">
        <f t="shared" si="0"/>
        <v>0</v>
      </c>
      <c r="AA5" s="4">
        <f t="shared" si="0"/>
        <v>0</v>
      </c>
      <c r="AB5" s="4">
        <f t="shared" si="0"/>
        <v>0</v>
      </c>
      <c r="AC5" s="4">
        <f t="shared" si="0"/>
        <v>0</v>
      </c>
      <c r="AD5" s="138">
        <f t="shared" si="0"/>
        <v>0</v>
      </c>
      <c r="AE5" s="138">
        <f t="shared" si="0"/>
        <v>0</v>
      </c>
      <c r="AF5" s="138">
        <f t="shared" si="0"/>
        <v>0</v>
      </c>
      <c r="AG5" s="138">
        <f t="shared" si="0"/>
        <v>0</v>
      </c>
      <c r="AH5" s="138">
        <f t="shared" si="0"/>
        <v>0</v>
      </c>
      <c r="AI5" s="138">
        <f t="shared" si="0"/>
        <v>0</v>
      </c>
      <c r="AJ5" s="112">
        <f t="shared" si="0"/>
        <v>0</v>
      </c>
    </row>
    <row r="6" spans="2:55" ht="16.5" customHeight="1" x14ac:dyDescent="0.25">
      <c r="B6" s="163"/>
      <c r="C6" s="163"/>
      <c r="D6" s="163"/>
      <c r="E6" s="163"/>
      <c r="F6" s="163"/>
      <c r="G6" s="163"/>
      <c r="H6" s="163"/>
      <c r="I6" s="163"/>
      <c r="J6" s="163"/>
      <c r="K6" s="163"/>
      <c r="L6" s="163"/>
      <c r="M6" s="163"/>
      <c r="N6" s="163"/>
      <c r="O6" s="163"/>
      <c r="P6" s="163"/>
      <c r="Q6" s="163"/>
      <c r="R6" s="163"/>
      <c r="T6" s="166"/>
      <c r="U6" s="136">
        <v>2</v>
      </c>
      <c r="V6" s="115">
        <f>V13-D13</f>
        <v>0</v>
      </c>
      <c r="W6" s="115">
        <f t="shared" si="0"/>
        <v>0</v>
      </c>
      <c r="X6" s="115">
        <f t="shared" si="0"/>
        <v>0</v>
      </c>
      <c r="Y6" s="115">
        <f t="shared" si="0"/>
        <v>0</v>
      </c>
      <c r="Z6" s="115">
        <f t="shared" si="0"/>
        <v>0</v>
      </c>
      <c r="AA6" s="115">
        <f t="shared" si="0"/>
        <v>0</v>
      </c>
      <c r="AB6" s="115">
        <f t="shared" si="0"/>
        <v>0</v>
      </c>
      <c r="AC6" s="115">
        <f t="shared" si="0"/>
        <v>0</v>
      </c>
      <c r="AD6" s="65">
        <f t="shared" si="0"/>
        <v>0</v>
      </c>
      <c r="AE6" s="65">
        <f t="shared" si="0"/>
        <v>0</v>
      </c>
      <c r="AF6" s="65">
        <f t="shared" si="0"/>
        <v>0</v>
      </c>
      <c r="AG6" s="65">
        <f t="shared" si="0"/>
        <v>0</v>
      </c>
      <c r="AH6" s="65">
        <f t="shared" si="0"/>
        <v>0</v>
      </c>
      <c r="AI6" s="65">
        <f t="shared" si="0"/>
        <v>0</v>
      </c>
      <c r="AJ6" s="66">
        <f t="shared" si="0"/>
        <v>0</v>
      </c>
    </row>
    <row r="7" spans="2:55" ht="16.5" customHeight="1" x14ac:dyDescent="0.25">
      <c r="B7" s="163"/>
      <c r="C7" s="163"/>
      <c r="D7" s="163"/>
      <c r="E7" s="163"/>
      <c r="F7" s="163"/>
      <c r="G7" s="163"/>
      <c r="H7" s="163"/>
      <c r="I7" s="163"/>
      <c r="J7" s="163"/>
      <c r="K7" s="163"/>
      <c r="L7" s="163"/>
      <c r="M7" s="163"/>
      <c r="N7" s="163"/>
      <c r="O7" s="163"/>
      <c r="P7" s="163"/>
      <c r="Q7" s="163"/>
      <c r="R7" s="163"/>
      <c r="T7" s="166"/>
      <c r="U7" s="136">
        <v>3</v>
      </c>
      <c r="V7" s="3">
        <f>V14-D14</f>
        <v>0</v>
      </c>
      <c r="W7" s="3">
        <f t="shared" si="0"/>
        <v>0</v>
      </c>
      <c r="X7" s="3">
        <f t="shared" si="0"/>
        <v>0</v>
      </c>
      <c r="Y7" s="3">
        <f t="shared" si="0"/>
        <v>0</v>
      </c>
      <c r="Z7" s="3">
        <f t="shared" si="0"/>
        <v>0</v>
      </c>
      <c r="AA7" s="3">
        <f t="shared" si="0"/>
        <v>0</v>
      </c>
      <c r="AB7" s="3">
        <f t="shared" si="0"/>
        <v>0</v>
      </c>
      <c r="AC7" s="3">
        <f t="shared" si="0"/>
        <v>0</v>
      </c>
      <c r="AD7" s="137">
        <f t="shared" si="0"/>
        <v>0</v>
      </c>
      <c r="AE7" s="137">
        <f t="shared" si="0"/>
        <v>0</v>
      </c>
      <c r="AF7" s="137">
        <f t="shared" si="0"/>
        <v>0</v>
      </c>
      <c r="AG7" s="137">
        <f t="shared" si="0"/>
        <v>0</v>
      </c>
      <c r="AH7" s="137">
        <f t="shared" si="0"/>
        <v>0</v>
      </c>
      <c r="AI7" s="137">
        <f t="shared" si="0"/>
        <v>0</v>
      </c>
      <c r="AJ7" s="108">
        <f t="shared" si="0"/>
        <v>0</v>
      </c>
    </row>
    <row r="8" spans="2:55" ht="16.5" customHeight="1" x14ac:dyDescent="0.25">
      <c r="B8" s="163"/>
      <c r="C8" s="163"/>
      <c r="D8" s="163"/>
      <c r="E8" s="163"/>
      <c r="F8" s="163"/>
      <c r="G8" s="163"/>
      <c r="H8" s="163"/>
      <c r="I8" s="163"/>
      <c r="J8" s="163"/>
      <c r="K8" s="163"/>
      <c r="L8" s="163"/>
      <c r="M8" s="163"/>
      <c r="N8" s="163"/>
      <c r="O8" s="163"/>
      <c r="P8" s="163"/>
      <c r="Q8" s="163"/>
      <c r="R8" s="163"/>
      <c r="T8" s="167"/>
      <c r="U8" s="136">
        <v>4</v>
      </c>
      <c r="V8" s="56">
        <f>V15-D15</f>
        <v>0</v>
      </c>
      <c r="W8" s="56">
        <f t="shared" si="0"/>
        <v>0</v>
      </c>
      <c r="X8" s="56">
        <f t="shared" si="0"/>
        <v>0</v>
      </c>
      <c r="Y8" s="56">
        <f t="shared" si="0"/>
        <v>0</v>
      </c>
      <c r="Z8" s="56">
        <f t="shared" si="0"/>
        <v>0</v>
      </c>
      <c r="AA8" s="56">
        <f t="shared" si="0"/>
        <v>0</v>
      </c>
      <c r="AB8" s="56">
        <f t="shared" si="0"/>
        <v>0</v>
      </c>
      <c r="AC8" s="56">
        <f t="shared" si="0"/>
        <v>0</v>
      </c>
      <c r="AD8" s="107">
        <f t="shared" si="0"/>
        <v>0</v>
      </c>
      <c r="AE8" s="107">
        <f t="shared" si="0"/>
        <v>0</v>
      </c>
      <c r="AF8" s="107">
        <f t="shared" si="0"/>
        <v>0</v>
      </c>
      <c r="AG8" s="107">
        <f t="shared" si="0"/>
        <v>0</v>
      </c>
      <c r="AH8" s="107">
        <f t="shared" si="0"/>
        <v>0</v>
      </c>
      <c r="AI8" s="107">
        <f t="shared" si="0"/>
        <v>0</v>
      </c>
      <c r="AJ8" s="109">
        <f t="shared" si="0"/>
        <v>0</v>
      </c>
    </row>
    <row r="10" spans="2:55" x14ac:dyDescent="0.25">
      <c r="B10" s="173" t="s">
        <v>28</v>
      </c>
      <c r="C10" s="173"/>
      <c r="D10" s="173"/>
      <c r="E10" s="173"/>
      <c r="F10" s="173"/>
      <c r="G10" s="173"/>
      <c r="H10" s="173"/>
      <c r="I10" s="173"/>
      <c r="J10" s="173"/>
      <c r="K10" s="173"/>
      <c r="L10" s="173"/>
      <c r="M10" s="173"/>
      <c r="N10" s="173"/>
      <c r="O10" s="173"/>
      <c r="P10" s="173"/>
      <c r="Q10" s="173"/>
      <c r="R10" s="173"/>
      <c r="T10" s="173" t="s">
        <v>29</v>
      </c>
      <c r="U10" s="173"/>
      <c r="V10" s="173"/>
      <c r="W10" s="173"/>
      <c r="X10" s="173"/>
      <c r="Y10" s="173"/>
      <c r="Z10" s="173"/>
      <c r="AA10" s="173"/>
      <c r="AB10" s="173"/>
      <c r="AC10" s="173"/>
      <c r="AD10" s="173"/>
      <c r="AE10" s="173"/>
      <c r="AF10" s="173"/>
      <c r="AG10" s="173"/>
      <c r="AH10" s="173"/>
      <c r="AI10" s="173"/>
      <c r="AJ10" s="173"/>
    </row>
    <row r="11" spans="2:55" x14ac:dyDescent="0.25">
      <c r="B11" s="136" t="s">
        <v>1</v>
      </c>
      <c r="C11" s="40" t="s">
        <v>0</v>
      </c>
      <c r="D11" s="134">
        <v>2</v>
      </c>
      <c r="E11" s="134">
        <v>5</v>
      </c>
      <c r="F11" s="134">
        <v>10</v>
      </c>
      <c r="G11" s="64">
        <v>20</v>
      </c>
      <c r="H11" s="134">
        <v>50</v>
      </c>
      <c r="I11" s="134">
        <v>100</v>
      </c>
      <c r="J11" s="134">
        <v>200</v>
      </c>
      <c r="K11" s="134">
        <v>300</v>
      </c>
      <c r="L11" s="134">
        <v>400</v>
      </c>
      <c r="M11" s="134">
        <v>500</v>
      </c>
      <c r="N11" s="134">
        <v>600</v>
      </c>
      <c r="O11" s="134">
        <v>700</v>
      </c>
      <c r="P11" s="134">
        <v>800</v>
      </c>
      <c r="Q11" s="134">
        <v>900</v>
      </c>
      <c r="R11" s="134">
        <v>1000</v>
      </c>
      <c r="S11" s="138"/>
      <c r="T11" s="136" t="s">
        <v>26</v>
      </c>
      <c r="U11" s="40" t="s">
        <v>0</v>
      </c>
      <c r="V11" s="136">
        <v>2</v>
      </c>
      <c r="W11" s="136">
        <v>5</v>
      </c>
      <c r="X11" s="136">
        <v>10</v>
      </c>
      <c r="Y11" s="41">
        <v>20</v>
      </c>
      <c r="Z11" s="136">
        <v>50</v>
      </c>
      <c r="AA11" s="136">
        <v>100</v>
      </c>
      <c r="AB11" s="136">
        <v>200</v>
      </c>
      <c r="AC11" s="136">
        <v>300</v>
      </c>
      <c r="AD11" s="136">
        <v>400</v>
      </c>
      <c r="AE11" s="136">
        <v>500</v>
      </c>
      <c r="AF11" s="136">
        <v>600</v>
      </c>
      <c r="AG11" s="136">
        <v>700</v>
      </c>
      <c r="AH11" s="136">
        <v>800</v>
      </c>
      <c r="AI11" s="136">
        <v>900</v>
      </c>
      <c r="AJ11" s="136">
        <v>1000</v>
      </c>
    </row>
    <row r="12" spans="2:55" x14ac:dyDescent="0.25">
      <c r="B12" s="165" t="s">
        <v>3</v>
      </c>
      <c r="C12" s="63">
        <v>1</v>
      </c>
      <c r="D12" s="57">
        <f>'0.AEpreCheck'!D12</f>
        <v>0</v>
      </c>
      <c r="E12" s="110">
        <f>'0.AEpreCheck'!E12</f>
        <v>0</v>
      </c>
      <c r="F12" s="110">
        <f>'0.AEpreCheck'!F12</f>
        <v>0</v>
      </c>
      <c r="G12" s="110">
        <f>'0.AEpreCheck'!G12</f>
        <v>0</v>
      </c>
      <c r="H12" s="110">
        <f>'0.AEpreCheck'!H12</f>
        <v>0</v>
      </c>
      <c r="I12" s="110">
        <f>'0.AEpreCheck'!I12</f>
        <v>0</v>
      </c>
      <c r="J12" s="110">
        <f>'0.AEpreCheck'!J12</f>
        <v>0</v>
      </c>
      <c r="K12" s="110">
        <f>'0.AEpreCheck'!K12</f>
        <v>0</v>
      </c>
      <c r="L12" s="110">
        <f>'0.AEpreCheck'!L12</f>
        <v>0</v>
      </c>
      <c r="M12" s="110">
        <f>'0.AEpreCheck'!M12</f>
        <v>0</v>
      </c>
      <c r="N12" s="110">
        <f>'0.AEpreCheck'!N12</f>
        <v>0</v>
      </c>
      <c r="O12" s="110">
        <f>'0.AEpreCheck'!O12</f>
        <v>0</v>
      </c>
      <c r="P12" s="110">
        <f>'0.AEpreCheck'!P12</f>
        <v>0</v>
      </c>
      <c r="Q12" s="110">
        <f>'0.AEpreCheck'!Q12</f>
        <v>0</v>
      </c>
      <c r="R12" s="112">
        <f>'0.AEpreCheck'!R12</f>
        <v>0</v>
      </c>
      <c r="S12" s="138"/>
      <c r="T12" s="165" t="s">
        <v>3</v>
      </c>
      <c r="U12" s="135">
        <v>1</v>
      </c>
      <c r="V12" s="57"/>
      <c r="W12" s="138"/>
      <c r="X12" s="110"/>
      <c r="Y12" s="138"/>
      <c r="Z12" s="110"/>
      <c r="AA12" s="138"/>
      <c r="AB12" s="110"/>
      <c r="AC12" s="110"/>
      <c r="AD12" s="110"/>
      <c r="AE12" s="110"/>
      <c r="AF12" s="110"/>
      <c r="AG12" s="110"/>
      <c r="AH12" s="110"/>
      <c r="AI12" s="110"/>
      <c r="AJ12" s="112"/>
      <c r="BC12" s="138"/>
    </row>
    <row r="13" spans="2:55" x14ac:dyDescent="0.25">
      <c r="B13" s="166"/>
      <c r="C13" s="40">
        <v>2</v>
      </c>
      <c r="D13" s="118">
        <f>'0.AEpreCheck'!D13</f>
        <v>0</v>
      </c>
      <c r="E13" s="148">
        <f>'0.AEpreCheck'!E13</f>
        <v>0</v>
      </c>
      <c r="F13" s="148">
        <f>'0.AEpreCheck'!F13</f>
        <v>0</v>
      </c>
      <c r="G13" s="148">
        <f>'0.AEpreCheck'!G13</f>
        <v>0</v>
      </c>
      <c r="H13" s="148">
        <f>'0.AEpreCheck'!H13</f>
        <v>0</v>
      </c>
      <c r="I13" s="148">
        <f>'0.AEpreCheck'!I13</f>
        <v>0</v>
      </c>
      <c r="J13" s="148">
        <f>'0.AEpreCheck'!J13</f>
        <v>0</v>
      </c>
      <c r="K13" s="148">
        <f>'0.AEpreCheck'!K13</f>
        <v>0</v>
      </c>
      <c r="L13" s="148">
        <f>'0.AEpreCheck'!L13</f>
        <v>0</v>
      </c>
      <c r="M13" s="148">
        <f>'0.AEpreCheck'!M13</f>
        <v>0</v>
      </c>
      <c r="N13" s="148">
        <f>'0.AEpreCheck'!N13</f>
        <v>0</v>
      </c>
      <c r="O13" s="148">
        <f>'0.AEpreCheck'!O13</f>
        <v>0</v>
      </c>
      <c r="P13" s="148">
        <f>'0.AEpreCheck'!P13</f>
        <v>0</v>
      </c>
      <c r="Q13" s="148">
        <f>'0.AEpreCheck'!Q13</f>
        <v>0</v>
      </c>
      <c r="R13" s="108">
        <f>'0.AEpreCheck'!R13</f>
        <v>0</v>
      </c>
      <c r="S13" s="138"/>
      <c r="T13" s="166"/>
      <c r="U13" s="136">
        <v>2</v>
      </c>
      <c r="V13" s="118"/>
      <c r="W13" s="138"/>
      <c r="X13" s="137"/>
      <c r="Y13" s="138"/>
      <c r="Z13" s="137"/>
      <c r="AA13" s="138"/>
      <c r="AB13" s="137"/>
      <c r="AC13" s="137"/>
      <c r="AD13" s="137"/>
      <c r="AE13" s="137"/>
      <c r="AF13" s="137"/>
      <c r="AG13" s="137"/>
      <c r="AH13" s="137"/>
      <c r="AI13" s="137"/>
      <c r="AJ13" s="108"/>
      <c r="BC13" s="138"/>
    </row>
    <row r="14" spans="2:55" x14ac:dyDescent="0.25">
      <c r="B14" s="166"/>
      <c r="C14" s="40">
        <v>3</v>
      </c>
      <c r="D14" s="118">
        <f>'0.AEpreCheck'!D14</f>
        <v>0</v>
      </c>
      <c r="E14" s="148">
        <f>'0.AEpreCheck'!E14</f>
        <v>0</v>
      </c>
      <c r="F14" s="148">
        <f>'0.AEpreCheck'!F14</f>
        <v>0</v>
      </c>
      <c r="G14" s="148">
        <f>'0.AEpreCheck'!G14</f>
        <v>0</v>
      </c>
      <c r="H14" s="148">
        <f>'0.AEpreCheck'!H14</f>
        <v>0</v>
      </c>
      <c r="I14" s="148">
        <f>'0.AEpreCheck'!I14</f>
        <v>0</v>
      </c>
      <c r="J14" s="148">
        <f>'0.AEpreCheck'!J14</f>
        <v>0</v>
      </c>
      <c r="K14" s="148">
        <f>'0.AEpreCheck'!K14</f>
        <v>0</v>
      </c>
      <c r="L14" s="148">
        <f>'0.AEpreCheck'!L14</f>
        <v>0</v>
      </c>
      <c r="M14" s="148">
        <f>'0.AEpreCheck'!M14</f>
        <v>0</v>
      </c>
      <c r="N14" s="148">
        <f>'0.AEpreCheck'!N14</f>
        <v>0</v>
      </c>
      <c r="O14" s="148">
        <f>'0.AEpreCheck'!O14</f>
        <v>0</v>
      </c>
      <c r="P14" s="148">
        <f>'0.AEpreCheck'!P14</f>
        <v>0</v>
      </c>
      <c r="Q14" s="148">
        <f>'0.AEpreCheck'!Q14</f>
        <v>0</v>
      </c>
      <c r="R14" s="108">
        <f>'0.AEpreCheck'!R14</f>
        <v>0</v>
      </c>
      <c r="S14" s="138"/>
      <c r="T14" s="166"/>
      <c r="U14" s="136">
        <v>3</v>
      </c>
      <c r="V14" s="118"/>
      <c r="W14" s="138"/>
      <c r="X14" s="137"/>
      <c r="Y14" s="138"/>
      <c r="Z14" s="137"/>
      <c r="AA14" s="138"/>
      <c r="AB14" s="137"/>
      <c r="AC14" s="137"/>
      <c r="AD14" s="137"/>
      <c r="AE14" s="137"/>
      <c r="AF14" s="137"/>
      <c r="AG14" s="137"/>
      <c r="AH14" s="137"/>
      <c r="AI14" s="137"/>
      <c r="AJ14" s="108"/>
      <c r="BC14" s="138"/>
    </row>
    <row r="15" spans="2:55" x14ac:dyDescent="0.25">
      <c r="B15" s="167"/>
      <c r="C15" s="40">
        <v>4</v>
      </c>
      <c r="D15" s="118">
        <f>'0.AEpreCheck'!D15</f>
        <v>0</v>
      </c>
      <c r="E15" s="148">
        <f>'0.AEpreCheck'!E15</f>
        <v>0</v>
      </c>
      <c r="F15" s="148">
        <f>'0.AEpreCheck'!F15</f>
        <v>0</v>
      </c>
      <c r="G15" s="148">
        <f>'0.AEpreCheck'!G15</f>
        <v>0</v>
      </c>
      <c r="H15" s="148">
        <f>'0.AEpreCheck'!H15</f>
        <v>0</v>
      </c>
      <c r="I15" s="148">
        <f>'0.AEpreCheck'!I15</f>
        <v>0</v>
      </c>
      <c r="J15" s="148">
        <f>'0.AEpreCheck'!J15</f>
        <v>0</v>
      </c>
      <c r="K15" s="148">
        <f>'0.AEpreCheck'!K15</f>
        <v>0</v>
      </c>
      <c r="L15" s="148">
        <f>'0.AEpreCheck'!L15</f>
        <v>0</v>
      </c>
      <c r="M15" s="148">
        <f>'0.AEpreCheck'!M15</f>
        <v>0</v>
      </c>
      <c r="N15" s="148">
        <f>'0.AEpreCheck'!N15</f>
        <v>0</v>
      </c>
      <c r="O15" s="148">
        <f>'0.AEpreCheck'!O15</f>
        <v>0</v>
      </c>
      <c r="P15" s="148">
        <f>'0.AEpreCheck'!P15</f>
        <v>0</v>
      </c>
      <c r="Q15" s="148">
        <f>'0.AEpreCheck'!Q15</f>
        <v>0</v>
      </c>
      <c r="R15" s="108">
        <f>'0.AEpreCheck'!R15</f>
        <v>0</v>
      </c>
      <c r="S15" s="138"/>
      <c r="T15" s="167"/>
      <c r="U15" s="136">
        <v>4</v>
      </c>
      <c r="V15" s="118"/>
      <c r="W15" s="138"/>
      <c r="X15" s="137"/>
      <c r="Y15" s="138"/>
      <c r="Z15" s="137"/>
      <c r="AA15" s="138"/>
      <c r="AB15" s="137"/>
      <c r="AC15" s="137"/>
      <c r="AD15" s="137"/>
      <c r="AE15" s="137"/>
      <c r="AF15" s="137"/>
      <c r="AG15" s="137"/>
      <c r="AH15" s="137"/>
      <c r="AI15" s="137"/>
      <c r="AJ15" s="108"/>
      <c r="BC15" s="138"/>
    </row>
    <row r="16" spans="2:55" x14ac:dyDescent="0.25">
      <c r="B16" s="165" t="s">
        <v>4</v>
      </c>
      <c r="C16" s="40">
        <v>5</v>
      </c>
      <c r="D16" s="118">
        <f>'0.AEpreCheck'!D16</f>
        <v>0</v>
      </c>
      <c r="E16" s="148">
        <f>'0.AEpreCheck'!E16</f>
        <v>0</v>
      </c>
      <c r="F16" s="148">
        <f>'0.AEpreCheck'!F16</f>
        <v>0</v>
      </c>
      <c r="G16" s="148">
        <f>'0.AEpreCheck'!G16</f>
        <v>0</v>
      </c>
      <c r="H16" s="148">
        <f>'0.AEpreCheck'!H16</f>
        <v>0</v>
      </c>
      <c r="I16" s="148">
        <f>'0.AEpreCheck'!I16</f>
        <v>0</v>
      </c>
      <c r="J16" s="148">
        <f>'0.AEpreCheck'!J16</f>
        <v>0</v>
      </c>
      <c r="K16" s="148">
        <f>'0.AEpreCheck'!K16</f>
        <v>0</v>
      </c>
      <c r="L16" s="148">
        <f>'0.AEpreCheck'!L16</f>
        <v>0</v>
      </c>
      <c r="M16" s="148">
        <f>'0.AEpreCheck'!M16</f>
        <v>0</v>
      </c>
      <c r="N16" s="148">
        <f>'0.AEpreCheck'!N16</f>
        <v>0</v>
      </c>
      <c r="O16" s="148">
        <f>'0.AEpreCheck'!O16</f>
        <v>0</v>
      </c>
      <c r="P16" s="148">
        <f>'0.AEpreCheck'!P16</f>
        <v>0</v>
      </c>
      <c r="Q16" s="148">
        <f>'0.AEpreCheck'!Q16</f>
        <v>0</v>
      </c>
      <c r="R16" s="108">
        <f>'0.AEpreCheck'!R16</f>
        <v>0</v>
      </c>
      <c r="S16" s="138"/>
      <c r="T16" s="165" t="s">
        <v>4</v>
      </c>
      <c r="U16" s="136">
        <v>5</v>
      </c>
      <c r="V16" s="118"/>
      <c r="W16" s="138"/>
      <c r="X16" s="137"/>
      <c r="Y16" s="138"/>
      <c r="Z16" s="137"/>
      <c r="AA16" s="138"/>
      <c r="AB16" s="137"/>
      <c r="AC16" s="137"/>
      <c r="AD16" s="137"/>
      <c r="AE16" s="137"/>
      <c r="AF16" s="137"/>
      <c r="AG16" s="137"/>
      <c r="AH16" s="137"/>
      <c r="AI16" s="137"/>
      <c r="AJ16" s="108"/>
      <c r="BC16" s="138"/>
    </row>
    <row r="17" spans="1:55" x14ac:dyDescent="0.25">
      <c r="B17" s="166"/>
      <c r="C17" s="40">
        <v>6</v>
      </c>
      <c r="D17" s="118">
        <f>'0.AEpreCheck'!D17</f>
        <v>0</v>
      </c>
      <c r="E17" s="148">
        <f>'0.AEpreCheck'!E17</f>
        <v>0</v>
      </c>
      <c r="F17" s="148">
        <f>'0.AEpreCheck'!F17</f>
        <v>0</v>
      </c>
      <c r="G17" s="148">
        <f>'0.AEpreCheck'!G17</f>
        <v>0</v>
      </c>
      <c r="H17" s="148">
        <f>'0.AEpreCheck'!H17</f>
        <v>0</v>
      </c>
      <c r="I17" s="148">
        <f>'0.AEpreCheck'!I17</f>
        <v>0</v>
      </c>
      <c r="J17" s="148">
        <f>'0.AEpreCheck'!J17</f>
        <v>0</v>
      </c>
      <c r="K17" s="148">
        <f>'0.AEpreCheck'!K17</f>
        <v>0</v>
      </c>
      <c r="L17" s="148">
        <f>'0.AEpreCheck'!L17</f>
        <v>0</v>
      </c>
      <c r="M17" s="148">
        <f>'0.AEpreCheck'!M17</f>
        <v>0</v>
      </c>
      <c r="N17" s="148">
        <f>'0.AEpreCheck'!N17</f>
        <v>0</v>
      </c>
      <c r="O17" s="148">
        <f>'0.AEpreCheck'!O17</f>
        <v>0</v>
      </c>
      <c r="P17" s="148">
        <f>'0.AEpreCheck'!P17</f>
        <v>0</v>
      </c>
      <c r="Q17" s="148">
        <f>'0.AEpreCheck'!Q17</f>
        <v>0</v>
      </c>
      <c r="R17" s="108">
        <f>'0.AEpreCheck'!R17</f>
        <v>0</v>
      </c>
      <c r="S17" s="138"/>
      <c r="T17" s="166"/>
      <c r="U17" s="136">
        <v>6</v>
      </c>
      <c r="V17" s="118"/>
      <c r="W17" s="138"/>
      <c r="X17" s="137"/>
      <c r="Y17" s="138"/>
      <c r="Z17" s="137"/>
      <c r="AA17" s="138"/>
      <c r="AB17" s="137"/>
      <c r="AC17" s="137"/>
      <c r="AD17" s="137"/>
      <c r="AE17" s="137"/>
      <c r="AF17" s="137"/>
      <c r="AG17" s="137"/>
      <c r="AH17" s="137"/>
      <c r="AI17" s="137"/>
      <c r="AJ17" s="108"/>
      <c r="BC17" s="138"/>
    </row>
    <row r="18" spans="1:55" x14ac:dyDescent="0.25">
      <c r="B18" s="166"/>
      <c r="C18" s="40">
        <v>7</v>
      </c>
      <c r="D18" s="118">
        <f>'0.AEpreCheck'!D18</f>
        <v>0</v>
      </c>
      <c r="E18" s="148">
        <f>'0.AEpreCheck'!E18</f>
        <v>0</v>
      </c>
      <c r="F18" s="148">
        <f>'0.AEpreCheck'!F18</f>
        <v>0</v>
      </c>
      <c r="G18" s="148">
        <f>'0.AEpreCheck'!G18</f>
        <v>0</v>
      </c>
      <c r="H18" s="148">
        <f>'0.AEpreCheck'!H18</f>
        <v>0</v>
      </c>
      <c r="I18" s="148">
        <f>'0.AEpreCheck'!I18</f>
        <v>0</v>
      </c>
      <c r="J18" s="148">
        <f>'0.AEpreCheck'!J18</f>
        <v>0</v>
      </c>
      <c r="K18" s="148">
        <f>'0.AEpreCheck'!K18</f>
        <v>0</v>
      </c>
      <c r="L18" s="148">
        <f>'0.AEpreCheck'!L18</f>
        <v>0</v>
      </c>
      <c r="M18" s="148">
        <f>'0.AEpreCheck'!M18</f>
        <v>0</v>
      </c>
      <c r="N18" s="148">
        <f>'0.AEpreCheck'!N18</f>
        <v>0</v>
      </c>
      <c r="O18" s="148">
        <f>'0.AEpreCheck'!O18</f>
        <v>0</v>
      </c>
      <c r="P18" s="148">
        <f>'0.AEpreCheck'!P18</f>
        <v>0</v>
      </c>
      <c r="Q18" s="148">
        <f>'0.AEpreCheck'!Q18</f>
        <v>0</v>
      </c>
      <c r="R18" s="108">
        <f>'0.AEpreCheck'!R18</f>
        <v>0</v>
      </c>
      <c r="S18" s="138"/>
      <c r="T18" s="166"/>
      <c r="U18" s="136">
        <v>7</v>
      </c>
      <c r="V18" s="118"/>
      <c r="W18" s="138"/>
      <c r="X18" s="137"/>
      <c r="Y18" s="138"/>
      <c r="Z18" s="137"/>
      <c r="AA18" s="138"/>
      <c r="AB18" s="137"/>
      <c r="AC18" s="137"/>
      <c r="AD18" s="137"/>
      <c r="AE18" s="137"/>
      <c r="AF18" s="137"/>
      <c r="AG18" s="137"/>
      <c r="AH18" s="137"/>
      <c r="AI18" s="137"/>
      <c r="AJ18" s="108"/>
      <c r="BC18" s="138"/>
    </row>
    <row r="19" spans="1:55" x14ac:dyDescent="0.25">
      <c r="B19" s="166"/>
      <c r="C19" s="40">
        <v>8</v>
      </c>
      <c r="D19" s="118">
        <f>'0.AEpreCheck'!D19</f>
        <v>0</v>
      </c>
      <c r="E19" s="148">
        <f>'0.AEpreCheck'!E19</f>
        <v>0</v>
      </c>
      <c r="F19" s="148">
        <f>'0.AEpreCheck'!F19</f>
        <v>0</v>
      </c>
      <c r="G19" s="148">
        <f>'0.AEpreCheck'!G19</f>
        <v>0</v>
      </c>
      <c r="H19" s="148">
        <f>'0.AEpreCheck'!H19</f>
        <v>0</v>
      </c>
      <c r="I19" s="148">
        <f>'0.AEpreCheck'!I19</f>
        <v>0</v>
      </c>
      <c r="J19" s="148">
        <f>'0.AEpreCheck'!J19</f>
        <v>0</v>
      </c>
      <c r="K19" s="148">
        <f>'0.AEpreCheck'!K19</f>
        <v>0</v>
      </c>
      <c r="L19" s="148">
        <f>'0.AEpreCheck'!L19</f>
        <v>0</v>
      </c>
      <c r="M19" s="148">
        <f>'0.AEpreCheck'!M19</f>
        <v>0</v>
      </c>
      <c r="N19" s="148">
        <f>'0.AEpreCheck'!N19</f>
        <v>0</v>
      </c>
      <c r="O19" s="148">
        <f>'0.AEpreCheck'!O19</f>
        <v>0</v>
      </c>
      <c r="P19" s="148">
        <f>'0.AEpreCheck'!P19</f>
        <v>0</v>
      </c>
      <c r="Q19" s="148">
        <f>'0.AEpreCheck'!Q19</f>
        <v>0</v>
      </c>
      <c r="R19" s="108">
        <f>'0.AEpreCheck'!R19</f>
        <v>0</v>
      </c>
      <c r="S19" s="138"/>
      <c r="T19" s="166"/>
      <c r="U19" s="136">
        <v>8</v>
      </c>
      <c r="V19" s="118"/>
      <c r="W19" s="138"/>
      <c r="X19" s="137"/>
      <c r="Y19" s="138"/>
      <c r="Z19" s="137"/>
      <c r="AA19" s="138"/>
      <c r="AB19" s="137"/>
      <c r="AC19" s="137"/>
      <c r="AD19" s="137"/>
      <c r="AE19" s="137"/>
      <c r="AF19" s="137"/>
      <c r="AG19" s="137"/>
      <c r="AH19" s="137"/>
      <c r="AI19" s="137"/>
      <c r="AJ19" s="108"/>
      <c r="BC19" s="138"/>
    </row>
    <row r="20" spans="1:55" x14ac:dyDescent="0.25">
      <c r="B20" s="166"/>
      <c r="C20" s="40">
        <v>9</v>
      </c>
      <c r="D20" s="118">
        <f>'0.AEpreCheck'!D20</f>
        <v>0</v>
      </c>
      <c r="E20" s="148">
        <f>'0.AEpreCheck'!E20</f>
        <v>0</v>
      </c>
      <c r="F20" s="148">
        <f>'0.AEpreCheck'!F20</f>
        <v>0</v>
      </c>
      <c r="G20" s="148">
        <f>'0.AEpreCheck'!G20</f>
        <v>0</v>
      </c>
      <c r="H20" s="148">
        <f>'0.AEpreCheck'!H20</f>
        <v>0</v>
      </c>
      <c r="I20" s="148">
        <f>'0.AEpreCheck'!I20</f>
        <v>0</v>
      </c>
      <c r="J20" s="148">
        <f>'0.AEpreCheck'!J20</f>
        <v>0</v>
      </c>
      <c r="K20" s="148">
        <f>'0.AEpreCheck'!K20</f>
        <v>0</v>
      </c>
      <c r="L20" s="148">
        <f>'0.AEpreCheck'!L20</f>
        <v>0</v>
      </c>
      <c r="M20" s="148">
        <f>'0.AEpreCheck'!M20</f>
        <v>0</v>
      </c>
      <c r="N20" s="148">
        <f>'0.AEpreCheck'!N20</f>
        <v>0</v>
      </c>
      <c r="O20" s="148">
        <f>'0.AEpreCheck'!O20</f>
        <v>0</v>
      </c>
      <c r="P20" s="148">
        <f>'0.AEpreCheck'!P20</f>
        <v>0</v>
      </c>
      <c r="Q20" s="148">
        <f>'0.AEpreCheck'!Q20</f>
        <v>0</v>
      </c>
      <c r="R20" s="108">
        <f>'0.AEpreCheck'!R20</f>
        <v>0</v>
      </c>
      <c r="S20" s="138"/>
      <c r="T20" s="166"/>
      <c r="U20" s="136">
        <v>9</v>
      </c>
      <c r="V20" s="118"/>
      <c r="W20" s="138"/>
      <c r="X20" s="137"/>
      <c r="Y20" s="138"/>
      <c r="Z20" s="137"/>
      <c r="AA20" s="138"/>
      <c r="AB20" s="137"/>
      <c r="AC20" s="137"/>
      <c r="AD20" s="137"/>
      <c r="AE20" s="137"/>
      <c r="AF20" s="137"/>
      <c r="AG20" s="137"/>
      <c r="AH20" s="137"/>
      <c r="AI20" s="137"/>
      <c r="AJ20" s="108"/>
      <c r="BC20" s="138"/>
    </row>
    <row r="21" spans="1:55" x14ac:dyDescent="0.25">
      <c r="B21" s="166"/>
      <c r="C21" s="40">
        <v>10</v>
      </c>
      <c r="D21" s="118">
        <f>'0.AEpreCheck'!D21</f>
        <v>0</v>
      </c>
      <c r="E21" s="148">
        <f>'0.AEpreCheck'!E21</f>
        <v>0</v>
      </c>
      <c r="F21" s="148">
        <f>'0.AEpreCheck'!F21</f>
        <v>0</v>
      </c>
      <c r="G21" s="148">
        <f>'0.AEpreCheck'!G21</f>
        <v>0</v>
      </c>
      <c r="H21" s="148">
        <f>'0.AEpreCheck'!H21</f>
        <v>0</v>
      </c>
      <c r="I21" s="148">
        <f>'0.AEpreCheck'!I21</f>
        <v>0</v>
      </c>
      <c r="J21" s="148">
        <f>'0.AEpreCheck'!J21</f>
        <v>0</v>
      </c>
      <c r="K21" s="148">
        <f>'0.AEpreCheck'!K21</f>
        <v>0</v>
      </c>
      <c r="L21" s="148">
        <f>'0.AEpreCheck'!L21</f>
        <v>0</v>
      </c>
      <c r="M21" s="148">
        <f>'0.AEpreCheck'!M21</f>
        <v>0</v>
      </c>
      <c r="N21" s="148">
        <f>'0.AEpreCheck'!N21</f>
        <v>0</v>
      </c>
      <c r="O21" s="148">
        <f>'0.AEpreCheck'!O21</f>
        <v>0</v>
      </c>
      <c r="P21" s="148">
        <f>'0.AEpreCheck'!P21</f>
        <v>0</v>
      </c>
      <c r="Q21" s="148">
        <f>'0.AEpreCheck'!Q21</f>
        <v>0</v>
      </c>
      <c r="R21" s="108">
        <f>'0.AEpreCheck'!R21</f>
        <v>0</v>
      </c>
      <c r="S21" s="138"/>
      <c r="T21" s="166"/>
      <c r="U21" s="136">
        <v>10</v>
      </c>
      <c r="V21" s="118"/>
      <c r="W21" s="138"/>
      <c r="X21" s="137"/>
      <c r="Y21" s="138"/>
      <c r="Z21" s="137"/>
      <c r="AA21" s="138"/>
      <c r="AB21" s="137"/>
      <c r="AC21" s="137"/>
      <c r="AD21" s="137"/>
      <c r="AE21" s="137"/>
      <c r="AF21" s="137"/>
      <c r="AG21" s="137"/>
      <c r="AH21" s="137"/>
      <c r="AI21" s="137"/>
      <c r="AJ21" s="108"/>
      <c r="BC21" s="138"/>
    </row>
    <row r="22" spans="1:55" x14ac:dyDescent="0.25">
      <c r="B22" s="166"/>
      <c r="C22" s="40">
        <v>11</v>
      </c>
      <c r="D22" s="118">
        <f>'0.AEpreCheck'!D22</f>
        <v>0</v>
      </c>
      <c r="E22" s="148">
        <f>'0.AEpreCheck'!E22</f>
        <v>0</v>
      </c>
      <c r="F22" s="148">
        <f>'0.AEpreCheck'!F22</f>
        <v>0</v>
      </c>
      <c r="G22" s="148">
        <f>'0.AEpreCheck'!G22</f>
        <v>0</v>
      </c>
      <c r="H22" s="148">
        <f>'0.AEpreCheck'!H22</f>
        <v>0</v>
      </c>
      <c r="I22" s="148">
        <f>'0.AEpreCheck'!I22</f>
        <v>0</v>
      </c>
      <c r="J22" s="148">
        <f>'0.AEpreCheck'!J22</f>
        <v>0</v>
      </c>
      <c r="K22" s="148">
        <f>'0.AEpreCheck'!K22</f>
        <v>0</v>
      </c>
      <c r="L22" s="148">
        <f>'0.AEpreCheck'!L22</f>
        <v>0</v>
      </c>
      <c r="M22" s="148">
        <f>'0.AEpreCheck'!M22</f>
        <v>0</v>
      </c>
      <c r="N22" s="148">
        <f>'0.AEpreCheck'!N22</f>
        <v>0</v>
      </c>
      <c r="O22" s="148">
        <f>'0.AEpreCheck'!O22</f>
        <v>0</v>
      </c>
      <c r="P22" s="148">
        <f>'0.AEpreCheck'!P22</f>
        <v>0</v>
      </c>
      <c r="Q22" s="148">
        <f>'0.AEpreCheck'!Q22</f>
        <v>0</v>
      </c>
      <c r="R22" s="108">
        <f>'0.AEpreCheck'!R22</f>
        <v>0</v>
      </c>
      <c r="S22" s="138"/>
      <c r="T22" s="166"/>
      <c r="U22" s="136">
        <v>11</v>
      </c>
      <c r="V22" s="118"/>
      <c r="W22" s="138"/>
      <c r="X22" s="137"/>
      <c r="Y22" s="138"/>
      <c r="Z22" s="137"/>
      <c r="AA22" s="138"/>
      <c r="AB22" s="137"/>
      <c r="AC22" s="137"/>
      <c r="AD22" s="137"/>
      <c r="AE22" s="137"/>
      <c r="AF22" s="137"/>
      <c r="AG22" s="137"/>
      <c r="AH22" s="137"/>
      <c r="AI22" s="137"/>
      <c r="AJ22" s="108"/>
      <c r="BC22" s="138"/>
    </row>
    <row r="23" spans="1:55" x14ac:dyDescent="0.25">
      <c r="B23" s="166"/>
      <c r="C23" s="40">
        <v>12</v>
      </c>
      <c r="D23" s="118">
        <f>'0.AEpreCheck'!D23</f>
        <v>0</v>
      </c>
      <c r="E23" s="148">
        <f>'0.AEpreCheck'!E23</f>
        <v>0</v>
      </c>
      <c r="F23" s="148">
        <f>'0.AEpreCheck'!F23</f>
        <v>0</v>
      </c>
      <c r="G23" s="148">
        <f>'0.AEpreCheck'!G23</f>
        <v>0</v>
      </c>
      <c r="H23" s="148">
        <f>'0.AEpreCheck'!H23</f>
        <v>0</v>
      </c>
      <c r="I23" s="148">
        <f>'0.AEpreCheck'!I23</f>
        <v>0</v>
      </c>
      <c r="J23" s="148">
        <f>'0.AEpreCheck'!J23</f>
        <v>0</v>
      </c>
      <c r="K23" s="148">
        <f>'0.AEpreCheck'!K23</f>
        <v>0</v>
      </c>
      <c r="L23" s="148">
        <f>'0.AEpreCheck'!L23</f>
        <v>0</v>
      </c>
      <c r="M23" s="148">
        <f>'0.AEpreCheck'!M23</f>
        <v>0</v>
      </c>
      <c r="N23" s="148">
        <f>'0.AEpreCheck'!N23</f>
        <v>0</v>
      </c>
      <c r="O23" s="148">
        <f>'0.AEpreCheck'!O23</f>
        <v>0</v>
      </c>
      <c r="P23" s="148">
        <f>'0.AEpreCheck'!P23</f>
        <v>0</v>
      </c>
      <c r="Q23" s="148">
        <f>'0.AEpreCheck'!Q23</f>
        <v>0</v>
      </c>
      <c r="R23" s="108">
        <f>'0.AEpreCheck'!R23</f>
        <v>0</v>
      </c>
      <c r="S23" s="138"/>
      <c r="T23" s="166"/>
      <c r="U23" s="136">
        <v>12</v>
      </c>
      <c r="V23" s="118"/>
      <c r="W23" s="138"/>
      <c r="X23" s="137"/>
      <c r="Y23" s="138"/>
      <c r="Z23" s="137"/>
      <c r="AA23" s="138"/>
      <c r="AB23" s="137"/>
      <c r="AC23" s="137"/>
      <c r="AD23" s="137"/>
      <c r="AE23" s="137"/>
      <c r="AF23" s="137"/>
      <c r="AG23" s="137"/>
      <c r="AH23" s="137"/>
      <c r="AI23" s="137"/>
      <c r="AJ23" s="108"/>
      <c r="BC23" s="138"/>
    </row>
    <row r="24" spans="1:55" x14ac:dyDescent="0.25">
      <c r="B24" s="166"/>
      <c r="C24" s="40">
        <v>13</v>
      </c>
      <c r="D24" s="118">
        <f>'0.AEpreCheck'!D24</f>
        <v>0</v>
      </c>
      <c r="E24" s="148">
        <f>'0.AEpreCheck'!E24</f>
        <v>0</v>
      </c>
      <c r="F24" s="148">
        <f>'0.AEpreCheck'!F24</f>
        <v>0</v>
      </c>
      <c r="G24" s="148">
        <f>'0.AEpreCheck'!G24</f>
        <v>0</v>
      </c>
      <c r="H24" s="148">
        <f>'0.AEpreCheck'!H24</f>
        <v>0</v>
      </c>
      <c r="I24" s="148">
        <f>'0.AEpreCheck'!I24</f>
        <v>0</v>
      </c>
      <c r="J24" s="148">
        <f>'0.AEpreCheck'!J24</f>
        <v>0</v>
      </c>
      <c r="K24" s="148">
        <f>'0.AEpreCheck'!K24</f>
        <v>0</v>
      </c>
      <c r="L24" s="148">
        <f>'0.AEpreCheck'!L24</f>
        <v>0</v>
      </c>
      <c r="M24" s="148">
        <f>'0.AEpreCheck'!M24</f>
        <v>0</v>
      </c>
      <c r="N24" s="148">
        <f>'0.AEpreCheck'!N24</f>
        <v>0</v>
      </c>
      <c r="O24" s="148">
        <f>'0.AEpreCheck'!O24</f>
        <v>0</v>
      </c>
      <c r="P24" s="148">
        <f>'0.AEpreCheck'!P24</f>
        <v>0</v>
      </c>
      <c r="Q24" s="148">
        <f>'0.AEpreCheck'!Q24</f>
        <v>0</v>
      </c>
      <c r="R24" s="108">
        <f>'0.AEpreCheck'!R24</f>
        <v>0</v>
      </c>
      <c r="S24" s="138"/>
      <c r="T24" s="166"/>
      <c r="U24" s="136">
        <v>13</v>
      </c>
      <c r="V24" s="118"/>
      <c r="W24" s="138"/>
      <c r="X24" s="137"/>
      <c r="Y24" s="138"/>
      <c r="Z24" s="137"/>
      <c r="AA24" s="138"/>
      <c r="AB24" s="137"/>
      <c r="AC24" s="137"/>
      <c r="AD24" s="137"/>
      <c r="AE24" s="137"/>
      <c r="AF24" s="137"/>
      <c r="AG24" s="137"/>
      <c r="AH24" s="137"/>
      <c r="AI24" s="137"/>
      <c r="AJ24" s="108"/>
      <c r="BC24" s="138"/>
    </row>
    <row r="25" spans="1:55" x14ac:dyDescent="0.25">
      <c r="B25" s="166"/>
      <c r="C25" s="40">
        <v>14</v>
      </c>
      <c r="D25" s="118">
        <f>'0.AEpreCheck'!D25</f>
        <v>0</v>
      </c>
      <c r="E25" s="148">
        <f>'0.AEpreCheck'!E25</f>
        <v>0</v>
      </c>
      <c r="F25" s="148">
        <f>'0.AEpreCheck'!F25</f>
        <v>0</v>
      </c>
      <c r="G25" s="148">
        <f>'0.AEpreCheck'!G25</f>
        <v>0</v>
      </c>
      <c r="H25" s="148">
        <f>'0.AEpreCheck'!H25</f>
        <v>0</v>
      </c>
      <c r="I25" s="148">
        <f>'0.AEpreCheck'!I25</f>
        <v>0</v>
      </c>
      <c r="J25" s="148">
        <f>'0.AEpreCheck'!J25</f>
        <v>0</v>
      </c>
      <c r="K25" s="148">
        <f>'0.AEpreCheck'!K25</f>
        <v>0</v>
      </c>
      <c r="L25" s="148">
        <f>'0.AEpreCheck'!L25</f>
        <v>0</v>
      </c>
      <c r="M25" s="148">
        <f>'0.AEpreCheck'!M25</f>
        <v>0</v>
      </c>
      <c r="N25" s="148">
        <f>'0.AEpreCheck'!N25</f>
        <v>0</v>
      </c>
      <c r="O25" s="148">
        <f>'0.AEpreCheck'!O25</f>
        <v>0</v>
      </c>
      <c r="P25" s="148">
        <f>'0.AEpreCheck'!P25</f>
        <v>0</v>
      </c>
      <c r="Q25" s="148">
        <f>'0.AEpreCheck'!Q25</f>
        <v>0</v>
      </c>
      <c r="R25" s="108">
        <f>'0.AEpreCheck'!R25</f>
        <v>0</v>
      </c>
      <c r="S25" s="138"/>
      <c r="T25" s="166"/>
      <c r="U25" s="136">
        <v>14</v>
      </c>
      <c r="V25" s="118"/>
      <c r="W25" s="138"/>
      <c r="X25" s="137"/>
      <c r="Y25" s="138"/>
      <c r="Z25" s="137"/>
      <c r="AA25" s="138"/>
      <c r="AB25" s="137"/>
      <c r="AC25" s="137"/>
      <c r="AD25" s="137"/>
      <c r="AE25" s="137"/>
      <c r="AF25" s="137"/>
      <c r="AG25" s="137"/>
      <c r="AH25" s="137"/>
      <c r="AI25" s="137"/>
      <c r="AJ25" s="108"/>
      <c r="BC25" s="138"/>
    </row>
    <row r="26" spans="1:55" x14ac:dyDescent="0.25">
      <c r="B26" s="166"/>
      <c r="C26" s="40">
        <v>15</v>
      </c>
      <c r="D26" s="118">
        <f>'0.AEpreCheck'!D26</f>
        <v>0</v>
      </c>
      <c r="E26" s="148">
        <f>'0.AEpreCheck'!E26</f>
        <v>0</v>
      </c>
      <c r="F26" s="148">
        <f>'0.AEpreCheck'!F26</f>
        <v>0</v>
      </c>
      <c r="G26" s="148">
        <f>'0.AEpreCheck'!G26</f>
        <v>0</v>
      </c>
      <c r="H26" s="148">
        <f>'0.AEpreCheck'!H26</f>
        <v>0</v>
      </c>
      <c r="I26" s="148">
        <f>'0.AEpreCheck'!I26</f>
        <v>0</v>
      </c>
      <c r="J26" s="148">
        <f>'0.AEpreCheck'!J26</f>
        <v>0</v>
      </c>
      <c r="K26" s="148">
        <f>'0.AEpreCheck'!K26</f>
        <v>0</v>
      </c>
      <c r="L26" s="148">
        <f>'0.AEpreCheck'!L26</f>
        <v>0</v>
      </c>
      <c r="M26" s="148">
        <f>'0.AEpreCheck'!M26</f>
        <v>0</v>
      </c>
      <c r="N26" s="148">
        <f>'0.AEpreCheck'!N26</f>
        <v>0</v>
      </c>
      <c r="O26" s="148">
        <f>'0.AEpreCheck'!O26</f>
        <v>0</v>
      </c>
      <c r="P26" s="148">
        <f>'0.AEpreCheck'!P26</f>
        <v>0</v>
      </c>
      <c r="Q26" s="148">
        <f>'0.AEpreCheck'!Q26</f>
        <v>0</v>
      </c>
      <c r="R26" s="108">
        <f>'0.AEpreCheck'!R26</f>
        <v>0</v>
      </c>
      <c r="S26" s="138"/>
      <c r="T26" s="166"/>
      <c r="U26" s="136">
        <v>15</v>
      </c>
      <c r="V26" s="118"/>
      <c r="W26" s="138"/>
      <c r="X26" s="137"/>
      <c r="Y26" s="138"/>
      <c r="Z26" s="137"/>
      <c r="AA26" s="138"/>
      <c r="AB26" s="137"/>
      <c r="AC26" s="137"/>
      <c r="AD26" s="137"/>
      <c r="AE26" s="137"/>
      <c r="AF26" s="137"/>
      <c r="AG26" s="137"/>
      <c r="AH26" s="137"/>
      <c r="AI26" s="137"/>
      <c r="AJ26" s="108"/>
      <c r="BC26" s="138"/>
    </row>
    <row r="27" spans="1:55" x14ac:dyDescent="0.25">
      <c r="B27" s="166"/>
      <c r="C27" s="40">
        <v>16</v>
      </c>
      <c r="D27" s="118">
        <f>'0.AEpreCheck'!D27</f>
        <v>0</v>
      </c>
      <c r="E27" s="148">
        <f>'0.AEpreCheck'!E27</f>
        <v>0</v>
      </c>
      <c r="F27" s="148">
        <f>'0.AEpreCheck'!F27</f>
        <v>0</v>
      </c>
      <c r="G27" s="148">
        <f>'0.AEpreCheck'!G27</f>
        <v>0</v>
      </c>
      <c r="H27" s="148">
        <f>'0.AEpreCheck'!H27</f>
        <v>0</v>
      </c>
      <c r="I27" s="148">
        <f>'0.AEpreCheck'!I27</f>
        <v>0</v>
      </c>
      <c r="J27" s="148">
        <f>'0.AEpreCheck'!J27</f>
        <v>0</v>
      </c>
      <c r="K27" s="148">
        <f>'0.AEpreCheck'!K27</f>
        <v>0</v>
      </c>
      <c r="L27" s="148">
        <f>'0.AEpreCheck'!L27</f>
        <v>0</v>
      </c>
      <c r="M27" s="148">
        <f>'0.AEpreCheck'!M27</f>
        <v>0</v>
      </c>
      <c r="N27" s="148">
        <f>'0.AEpreCheck'!N27</f>
        <v>0</v>
      </c>
      <c r="O27" s="148">
        <f>'0.AEpreCheck'!O27</f>
        <v>0</v>
      </c>
      <c r="P27" s="148">
        <f>'0.AEpreCheck'!P27</f>
        <v>0</v>
      </c>
      <c r="Q27" s="148">
        <f>'0.AEpreCheck'!Q27</f>
        <v>0</v>
      </c>
      <c r="R27" s="108">
        <f>'0.AEpreCheck'!R27</f>
        <v>0</v>
      </c>
      <c r="S27" s="138"/>
      <c r="T27" s="166"/>
      <c r="U27" s="136">
        <v>16</v>
      </c>
      <c r="V27" s="118"/>
      <c r="W27" s="138"/>
      <c r="X27" s="137"/>
      <c r="Y27" s="138"/>
      <c r="Z27" s="137"/>
      <c r="AA27" s="138"/>
      <c r="AB27" s="137"/>
      <c r="AC27" s="137"/>
      <c r="AD27" s="137"/>
      <c r="AE27" s="137"/>
      <c r="AF27" s="137"/>
      <c r="AG27" s="137"/>
      <c r="AH27" s="137"/>
      <c r="AI27" s="137"/>
      <c r="AJ27" s="108"/>
      <c r="BC27" s="138"/>
    </row>
    <row r="28" spans="1:55" x14ac:dyDescent="0.25">
      <c r="B28" s="166"/>
      <c r="C28" s="40">
        <v>17</v>
      </c>
      <c r="D28" s="118">
        <f>'0.AEpreCheck'!D28</f>
        <v>0</v>
      </c>
      <c r="E28" s="148">
        <f>'0.AEpreCheck'!E28</f>
        <v>0</v>
      </c>
      <c r="F28" s="148">
        <f>'0.AEpreCheck'!F28</f>
        <v>0</v>
      </c>
      <c r="G28" s="148">
        <f>'0.AEpreCheck'!G28</f>
        <v>0</v>
      </c>
      <c r="H28" s="148">
        <f>'0.AEpreCheck'!H28</f>
        <v>0</v>
      </c>
      <c r="I28" s="148">
        <f>'0.AEpreCheck'!I28</f>
        <v>0</v>
      </c>
      <c r="J28" s="148">
        <f>'0.AEpreCheck'!J28</f>
        <v>0</v>
      </c>
      <c r="K28" s="148">
        <f>'0.AEpreCheck'!K28</f>
        <v>0</v>
      </c>
      <c r="L28" s="148">
        <f>'0.AEpreCheck'!L28</f>
        <v>0</v>
      </c>
      <c r="M28" s="148">
        <f>'0.AEpreCheck'!M28</f>
        <v>0</v>
      </c>
      <c r="N28" s="148">
        <f>'0.AEpreCheck'!N28</f>
        <v>0</v>
      </c>
      <c r="O28" s="148">
        <f>'0.AEpreCheck'!O28</f>
        <v>0</v>
      </c>
      <c r="P28" s="148">
        <f>'0.AEpreCheck'!P28</f>
        <v>0</v>
      </c>
      <c r="Q28" s="148">
        <f>'0.AEpreCheck'!Q28</f>
        <v>0</v>
      </c>
      <c r="R28" s="108">
        <f>'0.AEpreCheck'!R28</f>
        <v>0</v>
      </c>
      <c r="S28" s="138"/>
      <c r="T28" s="166"/>
      <c r="U28" s="136">
        <v>17</v>
      </c>
      <c r="V28" s="118"/>
      <c r="W28" s="138"/>
      <c r="X28" s="137"/>
      <c r="Y28" s="138"/>
      <c r="Z28" s="137"/>
      <c r="AA28" s="138"/>
      <c r="AB28" s="137"/>
      <c r="AC28" s="137"/>
      <c r="AD28" s="137"/>
      <c r="AE28" s="137"/>
      <c r="AF28" s="137"/>
      <c r="AG28" s="137"/>
      <c r="AH28" s="137"/>
      <c r="AI28" s="137"/>
      <c r="AJ28" s="108"/>
      <c r="BC28" s="138"/>
    </row>
    <row r="29" spans="1:55" x14ac:dyDescent="0.25">
      <c r="B29" s="166"/>
      <c r="C29" s="40">
        <v>18</v>
      </c>
      <c r="D29" s="118">
        <f>'0.AEpreCheck'!D29</f>
        <v>0</v>
      </c>
      <c r="E29" s="148">
        <f>'0.AEpreCheck'!E29</f>
        <v>0</v>
      </c>
      <c r="F29" s="148">
        <f>'0.AEpreCheck'!F29</f>
        <v>0</v>
      </c>
      <c r="G29" s="148">
        <f>'0.AEpreCheck'!G29</f>
        <v>0</v>
      </c>
      <c r="H29" s="148">
        <f>'0.AEpreCheck'!H29</f>
        <v>0</v>
      </c>
      <c r="I29" s="148">
        <f>'0.AEpreCheck'!I29</f>
        <v>0</v>
      </c>
      <c r="J29" s="148">
        <f>'0.AEpreCheck'!J29</f>
        <v>0</v>
      </c>
      <c r="K29" s="148">
        <f>'0.AEpreCheck'!K29</f>
        <v>0</v>
      </c>
      <c r="L29" s="148">
        <f>'0.AEpreCheck'!L29</f>
        <v>0</v>
      </c>
      <c r="M29" s="148">
        <f>'0.AEpreCheck'!M29</f>
        <v>0</v>
      </c>
      <c r="N29" s="148">
        <f>'0.AEpreCheck'!N29</f>
        <v>0</v>
      </c>
      <c r="O29" s="148">
        <f>'0.AEpreCheck'!O29</f>
        <v>0</v>
      </c>
      <c r="P29" s="148">
        <f>'0.AEpreCheck'!P29</f>
        <v>0</v>
      </c>
      <c r="Q29" s="148">
        <f>'0.AEpreCheck'!Q29</f>
        <v>0</v>
      </c>
      <c r="R29" s="108">
        <f>'0.AEpreCheck'!R29</f>
        <v>0</v>
      </c>
      <c r="S29" s="138"/>
      <c r="T29" s="166"/>
      <c r="U29" s="136">
        <v>18</v>
      </c>
      <c r="V29" s="118"/>
      <c r="W29" s="138"/>
      <c r="X29" s="137"/>
      <c r="Y29" s="138"/>
      <c r="Z29" s="137"/>
      <c r="AA29" s="138"/>
      <c r="AB29" s="137"/>
      <c r="AC29" s="137"/>
      <c r="AD29" s="137"/>
      <c r="AE29" s="137"/>
      <c r="AF29" s="137"/>
      <c r="AG29" s="137"/>
      <c r="AH29" s="137"/>
      <c r="AI29" s="137"/>
      <c r="AJ29" s="108"/>
      <c r="BC29" s="138"/>
    </row>
    <row r="30" spans="1:55" x14ac:dyDescent="0.25">
      <c r="B30" s="166"/>
      <c r="C30" s="40">
        <v>19</v>
      </c>
      <c r="D30" s="118">
        <f>'0.AEpreCheck'!D30</f>
        <v>0</v>
      </c>
      <c r="E30" s="148">
        <f>'0.AEpreCheck'!E30</f>
        <v>0</v>
      </c>
      <c r="F30" s="148">
        <f>'0.AEpreCheck'!F30</f>
        <v>0</v>
      </c>
      <c r="G30" s="148">
        <f>'0.AEpreCheck'!G30</f>
        <v>0</v>
      </c>
      <c r="H30" s="148">
        <f>'0.AEpreCheck'!H30</f>
        <v>0</v>
      </c>
      <c r="I30" s="148">
        <f>'0.AEpreCheck'!I30</f>
        <v>0</v>
      </c>
      <c r="J30" s="148">
        <f>'0.AEpreCheck'!J30</f>
        <v>0</v>
      </c>
      <c r="K30" s="148">
        <f>'0.AEpreCheck'!K30</f>
        <v>0</v>
      </c>
      <c r="L30" s="148">
        <f>'0.AEpreCheck'!L30</f>
        <v>0</v>
      </c>
      <c r="M30" s="148">
        <f>'0.AEpreCheck'!M30</f>
        <v>0</v>
      </c>
      <c r="N30" s="148">
        <f>'0.AEpreCheck'!N30</f>
        <v>0</v>
      </c>
      <c r="O30" s="148">
        <f>'0.AEpreCheck'!O30</f>
        <v>0</v>
      </c>
      <c r="P30" s="148">
        <f>'0.AEpreCheck'!P30</f>
        <v>0</v>
      </c>
      <c r="Q30" s="148">
        <f>'0.AEpreCheck'!Q30</f>
        <v>0</v>
      </c>
      <c r="R30" s="108">
        <f>'0.AEpreCheck'!R30</f>
        <v>0</v>
      </c>
      <c r="S30" s="138"/>
      <c r="T30" s="166"/>
      <c r="U30" s="136">
        <v>19</v>
      </c>
      <c r="V30" s="118"/>
      <c r="W30" s="138"/>
      <c r="X30" s="137"/>
      <c r="Y30" s="138"/>
      <c r="Z30" s="137"/>
      <c r="AA30" s="138"/>
      <c r="AB30" s="137"/>
      <c r="AC30" s="137"/>
      <c r="AD30" s="137"/>
      <c r="AE30" s="137"/>
      <c r="AF30" s="137"/>
      <c r="AG30" s="137"/>
      <c r="AH30" s="137"/>
      <c r="AI30" s="137"/>
      <c r="AJ30" s="108"/>
      <c r="BC30" s="138"/>
    </row>
    <row r="31" spans="1:55" x14ac:dyDescent="0.25">
      <c r="B31" s="167"/>
      <c r="C31" s="40">
        <v>20</v>
      </c>
      <c r="D31" s="113">
        <f>'0.AEpreCheck'!D31</f>
        <v>0</v>
      </c>
      <c r="E31" s="107">
        <f>'0.AEpreCheck'!E31</f>
        <v>0</v>
      </c>
      <c r="F31" s="107">
        <f>'0.AEpreCheck'!F31</f>
        <v>0</v>
      </c>
      <c r="G31" s="107">
        <f>'0.AEpreCheck'!G31</f>
        <v>0</v>
      </c>
      <c r="H31" s="107">
        <f>'0.AEpreCheck'!H31</f>
        <v>0</v>
      </c>
      <c r="I31" s="107">
        <f>'0.AEpreCheck'!I31</f>
        <v>0</v>
      </c>
      <c r="J31" s="107">
        <f>'0.AEpreCheck'!J31</f>
        <v>0</v>
      </c>
      <c r="K31" s="107">
        <f>'0.AEpreCheck'!K31</f>
        <v>0</v>
      </c>
      <c r="L31" s="107">
        <f>'0.AEpreCheck'!L31</f>
        <v>0</v>
      </c>
      <c r="M31" s="107">
        <f>'0.AEpreCheck'!M31</f>
        <v>0</v>
      </c>
      <c r="N31" s="107">
        <f>'0.AEpreCheck'!N31</f>
        <v>0</v>
      </c>
      <c r="O31" s="107">
        <f>'0.AEpreCheck'!O31</f>
        <v>0</v>
      </c>
      <c r="P31" s="107">
        <f>'0.AEpreCheck'!P31</f>
        <v>0</v>
      </c>
      <c r="Q31" s="107">
        <f>'0.AEpreCheck'!Q31</f>
        <v>0</v>
      </c>
      <c r="R31" s="109">
        <f>'0.AEpreCheck'!R31</f>
        <v>0</v>
      </c>
      <c r="S31" s="138"/>
      <c r="T31" s="167"/>
      <c r="U31" s="136">
        <v>20</v>
      </c>
      <c r="V31" s="113"/>
      <c r="W31" s="107"/>
      <c r="X31" s="107"/>
      <c r="Y31" s="107"/>
      <c r="Z31" s="107"/>
      <c r="AA31" s="107"/>
      <c r="AB31" s="107"/>
      <c r="AC31" s="107"/>
      <c r="AD31" s="107"/>
      <c r="AE31" s="107"/>
      <c r="AF31" s="107"/>
      <c r="AG31" s="107"/>
      <c r="AH31" s="107"/>
      <c r="AI31" s="107"/>
      <c r="AJ31" s="109"/>
      <c r="BC31" s="138"/>
    </row>
    <row r="32" spans="1:55" x14ac:dyDescent="0.25">
      <c r="A32" s="158"/>
      <c r="B32" s="161" t="s">
        <v>58</v>
      </c>
      <c r="C32" s="175"/>
      <c r="D32" s="157" t="e">
        <f>((D12-D31)/(D12+D31))</f>
        <v>#DIV/0!</v>
      </c>
      <c r="E32" s="157" t="e">
        <f t="shared" ref="E32:R32" si="1">((E12-E31)/(E12+E31))</f>
        <v>#DIV/0!</v>
      </c>
      <c r="F32" s="157" t="e">
        <f t="shared" si="1"/>
        <v>#DIV/0!</v>
      </c>
      <c r="G32" s="157" t="e">
        <f t="shared" si="1"/>
        <v>#DIV/0!</v>
      </c>
      <c r="H32" s="157" t="e">
        <f t="shared" si="1"/>
        <v>#DIV/0!</v>
      </c>
      <c r="I32" s="157" t="e">
        <f t="shared" si="1"/>
        <v>#DIV/0!</v>
      </c>
      <c r="J32" s="157" t="e">
        <f t="shared" si="1"/>
        <v>#DIV/0!</v>
      </c>
      <c r="K32" s="157" t="e">
        <f t="shared" si="1"/>
        <v>#DIV/0!</v>
      </c>
      <c r="L32" s="157" t="e">
        <f t="shared" si="1"/>
        <v>#DIV/0!</v>
      </c>
      <c r="M32" s="157" t="e">
        <f t="shared" si="1"/>
        <v>#DIV/0!</v>
      </c>
      <c r="N32" s="157" t="e">
        <f t="shared" si="1"/>
        <v>#DIV/0!</v>
      </c>
      <c r="O32" s="157" t="e">
        <f t="shared" si="1"/>
        <v>#DIV/0!</v>
      </c>
      <c r="P32" s="157" t="e">
        <f t="shared" si="1"/>
        <v>#DIV/0!</v>
      </c>
      <c r="Q32" s="157" t="e">
        <f t="shared" si="1"/>
        <v>#DIV/0!</v>
      </c>
      <c r="R32" s="157" t="e">
        <f t="shared" si="1"/>
        <v>#DIV/0!</v>
      </c>
      <c r="S32" s="156"/>
      <c r="T32" s="161" t="s">
        <v>58</v>
      </c>
      <c r="U32" s="175"/>
      <c r="V32" s="157" t="e">
        <f>((V12-V31)/(V12+V31))</f>
        <v>#DIV/0!</v>
      </c>
      <c r="W32" s="157" t="e">
        <f t="shared" ref="W32:AJ32" si="2">((W12-W31)/(W12+W31))</f>
        <v>#DIV/0!</v>
      </c>
      <c r="X32" s="157" t="e">
        <f t="shared" si="2"/>
        <v>#DIV/0!</v>
      </c>
      <c r="Y32" s="157" t="e">
        <f t="shared" si="2"/>
        <v>#DIV/0!</v>
      </c>
      <c r="Z32" s="157" t="e">
        <f t="shared" si="2"/>
        <v>#DIV/0!</v>
      </c>
      <c r="AA32" s="157" t="e">
        <f t="shared" si="2"/>
        <v>#DIV/0!</v>
      </c>
      <c r="AB32" s="157" t="e">
        <f t="shared" si="2"/>
        <v>#DIV/0!</v>
      </c>
      <c r="AC32" s="157" t="e">
        <f t="shared" si="2"/>
        <v>#DIV/0!</v>
      </c>
      <c r="AD32" s="157" t="e">
        <f t="shared" si="2"/>
        <v>#DIV/0!</v>
      </c>
      <c r="AE32" s="157" t="e">
        <f t="shared" si="2"/>
        <v>#DIV/0!</v>
      </c>
      <c r="AF32" s="157" t="e">
        <f t="shared" si="2"/>
        <v>#DIV/0!</v>
      </c>
      <c r="AG32" s="157" t="e">
        <f t="shared" si="2"/>
        <v>#DIV/0!</v>
      </c>
      <c r="AH32" s="157" t="e">
        <f t="shared" si="2"/>
        <v>#DIV/0!</v>
      </c>
      <c r="AI32" s="157" t="e">
        <f t="shared" si="2"/>
        <v>#DIV/0!</v>
      </c>
      <c r="AJ32" s="157" t="e">
        <f t="shared" si="2"/>
        <v>#DIV/0!</v>
      </c>
      <c r="AK32" s="158"/>
      <c r="AL32" s="158"/>
      <c r="BC32" s="156"/>
    </row>
    <row r="33" spans="2:36" x14ac:dyDescent="0.25">
      <c r="B33" s="138"/>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8"/>
      <c r="AJ33" s="138"/>
    </row>
    <row r="34" spans="2:36" x14ac:dyDescent="0.25">
      <c r="B34" s="171" t="s">
        <v>49</v>
      </c>
      <c r="C34" s="172"/>
      <c r="D34" s="172"/>
      <c r="E34" s="172"/>
      <c r="F34" s="172"/>
      <c r="G34" s="172"/>
      <c r="H34" s="172"/>
      <c r="I34" s="172"/>
      <c r="J34" s="172"/>
      <c r="K34" s="172"/>
      <c r="L34" s="172"/>
      <c r="M34" s="172"/>
      <c r="N34" s="172"/>
      <c r="O34" s="172"/>
      <c r="P34" s="172"/>
      <c r="Q34" s="172"/>
      <c r="R34" s="128"/>
      <c r="S34" s="138"/>
      <c r="T34" s="171" t="s">
        <v>50</v>
      </c>
      <c r="U34" s="172"/>
      <c r="V34" s="172"/>
      <c r="W34" s="172"/>
      <c r="X34" s="172"/>
      <c r="Y34" s="172"/>
      <c r="Z34" s="172"/>
      <c r="AA34" s="172"/>
      <c r="AB34" s="172"/>
      <c r="AC34" s="172"/>
      <c r="AD34" s="172"/>
      <c r="AE34" s="172"/>
      <c r="AF34" s="172"/>
      <c r="AG34" s="172"/>
      <c r="AH34" s="172"/>
      <c r="AI34" s="172"/>
      <c r="AJ34" s="128"/>
    </row>
    <row r="35" spans="2:36" x14ac:dyDescent="0.25">
      <c r="B35" s="136" t="s">
        <v>1</v>
      </c>
      <c r="C35" s="40" t="s">
        <v>0</v>
      </c>
      <c r="D35" s="126" t="s">
        <v>43</v>
      </c>
      <c r="E35" s="126" t="s">
        <v>44</v>
      </c>
      <c r="F35" s="126" t="s">
        <v>45</v>
      </c>
      <c r="G35" s="41" t="s">
        <v>42</v>
      </c>
      <c r="H35" s="136" t="s">
        <v>41</v>
      </c>
      <c r="I35" s="136" t="s">
        <v>40</v>
      </c>
      <c r="J35" s="136" t="s">
        <v>39</v>
      </c>
      <c r="K35" s="136" t="s">
        <v>38</v>
      </c>
      <c r="L35" s="136" t="s">
        <v>37</v>
      </c>
      <c r="M35" s="136" t="s">
        <v>36</v>
      </c>
      <c r="N35" s="136" t="s">
        <v>35</v>
      </c>
      <c r="O35" s="136" t="s">
        <v>34</v>
      </c>
      <c r="P35" s="136" t="s">
        <v>33</v>
      </c>
      <c r="Q35" s="40" t="s">
        <v>32</v>
      </c>
      <c r="R35" s="70"/>
      <c r="S35" s="138"/>
      <c r="T35" s="136" t="s">
        <v>1</v>
      </c>
      <c r="U35" s="40" t="s">
        <v>0</v>
      </c>
      <c r="V35" s="126" t="s">
        <v>43</v>
      </c>
      <c r="W35" s="126" t="s">
        <v>44</v>
      </c>
      <c r="X35" s="126" t="s">
        <v>45</v>
      </c>
      <c r="Y35" s="41" t="s">
        <v>42</v>
      </c>
      <c r="Z35" s="136" t="s">
        <v>41</v>
      </c>
      <c r="AA35" s="136" t="s">
        <v>40</v>
      </c>
      <c r="AB35" s="136" t="s">
        <v>39</v>
      </c>
      <c r="AC35" s="136" t="s">
        <v>38</v>
      </c>
      <c r="AD35" s="136" t="s">
        <v>37</v>
      </c>
      <c r="AE35" s="136" t="s">
        <v>36</v>
      </c>
      <c r="AF35" s="136" t="s">
        <v>35</v>
      </c>
      <c r="AG35" s="136" t="s">
        <v>34</v>
      </c>
      <c r="AH35" s="136" t="s">
        <v>33</v>
      </c>
      <c r="AI35" s="40" t="s">
        <v>32</v>
      </c>
      <c r="AJ35" s="70"/>
    </row>
    <row r="36" spans="2:36" x14ac:dyDescent="0.25">
      <c r="B36" s="165" t="s">
        <v>3</v>
      </c>
      <c r="C36" s="135">
        <v>1</v>
      </c>
      <c r="D36" s="44" t="e">
        <f t="shared" ref="D36:Q36" si="3">E12/D12</f>
        <v>#DIV/0!</v>
      </c>
      <c r="E36" s="45" t="e">
        <f t="shared" si="3"/>
        <v>#DIV/0!</v>
      </c>
      <c r="F36" s="45" t="e">
        <f t="shared" si="3"/>
        <v>#DIV/0!</v>
      </c>
      <c r="G36" s="45" t="e">
        <f t="shared" si="3"/>
        <v>#DIV/0!</v>
      </c>
      <c r="H36" s="45" t="e">
        <f t="shared" si="3"/>
        <v>#DIV/0!</v>
      </c>
      <c r="I36" s="45" t="e">
        <f t="shared" si="3"/>
        <v>#DIV/0!</v>
      </c>
      <c r="J36" s="45" t="e">
        <f t="shared" si="3"/>
        <v>#DIV/0!</v>
      </c>
      <c r="K36" s="45" t="e">
        <f t="shared" si="3"/>
        <v>#DIV/0!</v>
      </c>
      <c r="L36" s="45" t="e">
        <f t="shared" si="3"/>
        <v>#DIV/0!</v>
      </c>
      <c r="M36" s="45" t="e">
        <f t="shared" si="3"/>
        <v>#DIV/0!</v>
      </c>
      <c r="N36" s="45" t="e">
        <f t="shared" si="3"/>
        <v>#DIV/0!</v>
      </c>
      <c r="O36" s="45" t="e">
        <f t="shared" si="3"/>
        <v>#DIV/0!</v>
      </c>
      <c r="P36" s="45" t="e">
        <f t="shared" si="3"/>
        <v>#DIV/0!</v>
      </c>
      <c r="Q36" s="45" t="e">
        <f t="shared" si="3"/>
        <v>#DIV/0!</v>
      </c>
      <c r="R36" s="118"/>
      <c r="S36" s="138"/>
      <c r="T36" s="165" t="s">
        <v>3</v>
      </c>
      <c r="U36" s="135">
        <v>1</v>
      </c>
      <c r="V36" s="44" t="e">
        <f t="shared" ref="V36:AI36" si="4">W12/V12</f>
        <v>#DIV/0!</v>
      </c>
      <c r="W36" s="45" t="e">
        <f t="shared" si="4"/>
        <v>#DIV/0!</v>
      </c>
      <c r="X36" s="45" t="e">
        <f t="shared" si="4"/>
        <v>#DIV/0!</v>
      </c>
      <c r="Y36" s="45" t="e">
        <f t="shared" si="4"/>
        <v>#DIV/0!</v>
      </c>
      <c r="Z36" s="45" t="e">
        <f t="shared" si="4"/>
        <v>#DIV/0!</v>
      </c>
      <c r="AA36" s="45" t="e">
        <f t="shared" si="4"/>
        <v>#DIV/0!</v>
      </c>
      <c r="AB36" s="45" t="e">
        <f t="shared" si="4"/>
        <v>#DIV/0!</v>
      </c>
      <c r="AC36" s="45" t="e">
        <f t="shared" si="4"/>
        <v>#DIV/0!</v>
      </c>
      <c r="AD36" s="45" t="e">
        <f t="shared" si="4"/>
        <v>#DIV/0!</v>
      </c>
      <c r="AE36" s="45" t="e">
        <f t="shared" si="4"/>
        <v>#DIV/0!</v>
      </c>
      <c r="AF36" s="45" t="e">
        <f t="shared" si="4"/>
        <v>#DIV/0!</v>
      </c>
      <c r="AG36" s="45" t="e">
        <f t="shared" si="4"/>
        <v>#DIV/0!</v>
      </c>
      <c r="AH36" s="45" t="e">
        <f t="shared" si="4"/>
        <v>#DIV/0!</v>
      </c>
      <c r="AI36" s="45" t="e">
        <f t="shared" si="4"/>
        <v>#DIV/0!</v>
      </c>
      <c r="AJ36" s="70"/>
    </row>
    <row r="37" spans="2:36" x14ac:dyDescent="0.25">
      <c r="B37" s="166"/>
      <c r="C37" s="136">
        <v>2</v>
      </c>
      <c r="D37" s="47" t="e">
        <f t="shared" ref="D37:Q37" si="5">E13/D13</f>
        <v>#DIV/0!</v>
      </c>
      <c r="E37" s="48" t="e">
        <f t="shared" si="5"/>
        <v>#DIV/0!</v>
      </c>
      <c r="F37" s="48" t="e">
        <f t="shared" si="5"/>
        <v>#DIV/0!</v>
      </c>
      <c r="G37" s="48" t="e">
        <f t="shared" si="5"/>
        <v>#DIV/0!</v>
      </c>
      <c r="H37" s="48" t="e">
        <f t="shared" si="5"/>
        <v>#DIV/0!</v>
      </c>
      <c r="I37" s="48" t="e">
        <f t="shared" si="5"/>
        <v>#DIV/0!</v>
      </c>
      <c r="J37" s="48" t="e">
        <f t="shared" si="5"/>
        <v>#DIV/0!</v>
      </c>
      <c r="K37" s="48" t="e">
        <f t="shared" si="5"/>
        <v>#DIV/0!</v>
      </c>
      <c r="L37" s="48" t="e">
        <f t="shared" si="5"/>
        <v>#DIV/0!</v>
      </c>
      <c r="M37" s="48" t="e">
        <f t="shared" si="5"/>
        <v>#DIV/0!</v>
      </c>
      <c r="N37" s="48" t="e">
        <f t="shared" si="5"/>
        <v>#DIV/0!</v>
      </c>
      <c r="O37" s="48" t="e">
        <f t="shared" si="5"/>
        <v>#DIV/0!</v>
      </c>
      <c r="P37" s="48" t="e">
        <f t="shared" si="5"/>
        <v>#DIV/0!</v>
      </c>
      <c r="Q37" s="48" t="e">
        <f t="shared" si="5"/>
        <v>#DIV/0!</v>
      </c>
      <c r="R37" s="118"/>
      <c r="S37" s="138"/>
      <c r="T37" s="166"/>
      <c r="U37" s="136">
        <v>2</v>
      </c>
      <c r="V37" s="47" t="e">
        <f t="shared" ref="V37:AI37" si="6">W13/V13</f>
        <v>#DIV/0!</v>
      </c>
      <c r="W37" s="48" t="e">
        <f t="shared" si="6"/>
        <v>#DIV/0!</v>
      </c>
      <c r="X37" s="48" t="e">
        <f t="shared" si="6"/>
        <v>#DIV/0!</v>
      </c>
      <c r="Y37" s="48" t="e">
        <f t="shared" si="6"/>
        <v>#DIV/0!</v>
      </c>
      <c r="Z37" s="48" t="e">
        <f t="shared" si="6"/>
        <v>#DIV/0!</v>
      </c>
      <c r="AA37" s="48" t="e">
        <f t="shared" si="6"/>
        <v>#DIV/0!</v>
      </c>
      <c r="AB37" s="48" t="e">
        <f t="shared" si="6"/>
        <v>#DIV/0!</v>
      </c>
      <c r="AC37" s="48" t="e">
        <f t="shared" si="6"/>
        <v>#DIV/0!</v>
      </c>
      <c r="AD37" s="48" t="e">
        <f t="shared" si="6"/>
        <v>#DIV/0!</v>
      </c>
      <c r="AE37" s="48" t="e">
        <f t="shared" si="6"/>
        <v>#DIV/0!</v>
      </c>
      <c r="AF37" s="48" t="e">
        <f t="shared" si="6"/>
        <v>#DIV/0!</v>
      </c>
      <c r="AG37" s="48" t="e">
        <f t="shared" si="6"/>
        <v>#DIV/0!</v>
      </c>
      <c r="AH37" s="48" t="e">
        <f t="shared" si="6"/>
        <v>#DIV/0!</v>
      </c>
      <c r="AI37" s="48" t="e">
        <f t="shared" si="6"/>
        <v>#DIV/0!</v>
      </c>
      <c r="AJ37" s="70"/>
    </row>
    <row r="38" spans="2:36" x14ac:dyDescent="0.25">
      <c r="B38" s="166"/>
      <c r="C38" s="136">
        <v>3</v>
      </c>
      <c r="D38" s="47" t="e">
        <f t="shared" ref="D38:Q38" si="7">E14/D14</f>
        <v>#DIV/0!</v>
      </c>
      <c r="E38" s="48" t="e">
        <f t="shared" si="7"/>
        <v>#DIV/0!</v>
      </c>
      <c r="F38" s="48" t="e">
        <f t="shared" si="7"/>
        <v>#DIV/0!</v>
      </c>
      <c r="G38" s="48" t="e">
        <f t="shared" si="7"/>
        <v>#DIV/0!</v>
      </c>
      <c r="H38" s="48" t="e">
        <f t="shared" si="7"/>
        <v>#DIV/0!</v>
      </c>
      <c r="I38" s="48" t="e">
        <f t="shared" si="7"/>
        <v>#DIV/0!</v>
      </c>
      <c r="J38" s="48" t="e">
        <f t="shared" si="7"/>
        <v>#DIV/0!</v>
      </c>
      <c r="K38" s="48" t="e">
        <f t="shared" si="7"/>
        <v>#DIV/0!</v>
      </c>
      <c r="L38" s="48" t="e">
        <f t="shared" si="7"/>
        <v>#DIV/0!</v>
      </c>
      <c r="M38" s="48" t="e">
        <f t="shared" si="7"/>
        <v>#DIV/0!</v>
      </c>
      <c r="N38" s="48" t="e">
        <f t="shared" si="7"/>
        <v>#DIV/0!</v>
      </c>
      <c r="O38" s="48" t="e">
        <f t="shared" si="7"/>
        <v>#DIV/0!</v>
      </c>
      <c r="P38" s="48" t="e">
        <f t="shared" si="7"/>
        <v>#DIV/0!</v>
      </c>
      <c r="Q38" s="48" t="e">
        <f t="shared" si="7"/>
        <v>#DIV/0!</v>
      </c>
      <c r="R38" s="118"/>
      <c r="S38" s="138"/>
      <c r="T38" s="166"/>
      <c r="U38" s="136">
        <v>3</v>
      </c>
      <c r="V38" s="47" t="e">
        <f t="shared" ref="V38:AI38" si="8">W14/V14</f>
        <v>#DIV/0!</v>
      </c>
      <c r="W38" s="48" t="e">
        <f t="shared" si="8"/>
        <v>#DIV/0!</v>
      </c>
      <c r="X38" s="48" t="e">
        <f t="shared" si="8"/>
        <v>#DIV/0!</v>
      </c>
      <c r="Y38" s="48" t="e">
        <f t="shared" si="8"/>
        <v>#DIV/0!</v>
      </c>
      <c r="Z38" s="48" t="e">
        <f t="shared" si="8"/>
        <v>#DIV/0!</v>
      </c>
      <c r="AA38" s="48" t="e">
        <f t="shared" si="8"/>
        <v>#DIV/0!</v>
      </c>
      <c r="AB38" s="48" t="e">
        <f t="shared" si="8"/>
        <v>#DIV/0!</v>
      </c>
      <c r="AC38" s="48" t="e">
        <f t="shared" si="8"/>
        <v>#DIV/0!</v>
      </c>
      <c r="AD38" s="48" t="e">
        <f t="shared" si="8"/>
        <v>#DIV/0!</v>
      </c>
      <c r="AE38" s="48" t="e">
        <f t="shared" si="8"/>
        <v>#DIV/0!</v>
      </c>
      <c r="AF38" s="48" t="e">
        <f t="shared" si="8"/>
        <v>#DIV/0!</v>
      </c>
      <c r="AG38" s="48" t="e">
        <f t="shared" si="8"/>
        <v>#DIV/0!</v>
      </c>
      <c r="AH38" s="48" t="e">
        <f t="shared" si="8"/>
        <v>#DIV/0!</v>
      </c>
      <c r="AI38" s="48" t="e">
        <f t="shared" si="8"/>
        <v>#DIV/0!</v>
      </c>
      <c r="AJ38" s="70"/>
    </row>
    <row r="39" spans="2:36" x14ac:dyDescent="0.25">
      <c r="B39" s="167"/>
      <c r="C39" s="136">
        <v>4</v>
      </c>
      <c r="D39" s="47" t="e">
        <f t="shared" ref="D39:Q39" si="9">E15/D15</f>
        <v>#DIV/0!</v>
      </c>
      <c r="E39" s="48" t="e">
        <f t="shared" si="9"/>
        <v>#DIV/0!</v>
      </c>
      <c r="F39" s="48" t="e">
        <f t="shared" si="9"/>
        <v>#DIV/0!</v>
      </c>
      <c r="G39" s="48" t="e">
        <f t="shared" si="9"/>
        <v>#DIV/0!</v>
      </c>
      <c r="H39" s="48" t="e">
        <f t="shared" si="9"/>
        <v>#DIV/0!</v>
      </c>
      <c r="I39" s="48" t="e">
        <f t="shared" si="9"/>
        <v>#DIV/0!</v>
      </c>
      <c r="J39" s="48" t="e">
        <f t="shared" si="9"/>
        <v>#DIV/0!</v>
      </c>
      <c r="K39" s="48" t="e">
        <f t="shared" si="9"/>
        <v>#DIV/0!</v>
      </c>
      <c r="L39" s="48" t="e">
        <f t="shared" si="9"/>
        <v>#DIV/0!</v>
      </c>
      <c r="M39" s="48" t="e">
        <f t="shared" si="9"/>
        <v>#DIV/0!</v>
      </c>
      <c r="N39" s="48" t="e">
        <f t="shared" si="9"/>
        <v>#DIV/0!</v>
      </c>
      <c r="O39" s="48" t="e">
        <f t="shared" si="9"/>
        <v>#DIV/0!</v>
      </c>
      <c r="P39" s="48" t="e">
        <f t="shared" si="9"/>
        <v>#DIV/0!</v>
      </c>
      <c r="Q39" s="48" t="e">
        <f t="shared" si="9"/>
        <v>#DIV/0!</v>
      </c>
      <c r="R39" s="118"/>
      <c r="S39" s="138"/>
      <c r="T39" s="167"/>
      <c r="U39" s="136">
        <v>4</v>
      </c>
      <c r="V39" s="47" t="e">
        <f t="shared" ref="V39:AI39" si="10">W15/V15</f>
        <v>#DIV/0!</v>
      </c>
      <c r="W39" s="48" t="e">
        <f t="shared" si="10"/>
        <v>#DIV/0!</v>
      </c>
      <c r="X39" s="48" t="e">
        <f t="shared" si="10"/>
        <v>#DIV/0!</v>
      </c>
      <c r="Y39" s="48" t="e">
        <f t="shared" si="10"/>
        <v>#DIV/0!</v>
      </c>
      <c r="Z39" s="48" t="e">
        <f t="shared" si="10"/>
        <v>#DIV/0!</v>
      </c>
      <c r="AA39" s="48" t="e">
        <f t="shared" si="10"/>
        <v>#DIV/0!</v>
      </c>
      <c r="AB39" s="48" t="e">
        <f t="shared" si="10"/>
        <v>#DIV/0!</v>
      </c>
      <c r="AC39" s="48" t="e">
        <f t="shared" si="10"/>
        <v>#DIV/0!</v>
      </c>
      <c r="AD39" s="48" t="e">
        <f t="shared" si="10"/>
        <v>#DIV/0!</v>
      </c>
      <c r="AE39" s="48" t="e">
        <f t="shared" si="10"/>
        <v>#DIV/0!</v>
      </c>
      <c r="AF39" s="48" t="e">
        <f t="shared" si="10"/>
        <v>#DIV/0!</v>
      </c>
      <c r="AG39" s="48" t="e">
        <f t="shared" si="10"/>
        <v>#DIV/0!</v>
      </c>
      <c r="AH39" s="48" t="e">
        <f t="shared" si="10"/>
        <v>#DIV/0!</v>
      </c>
      <c r="AI39" s="48" t="e">
        <f t="shared" si="10"/>
        <v>#DIV/0!</v>
      </c>
      <c r="AJ39" s="70"/>
    </row>
    <row r="40" spans="2:36" x14ac:dyDescent="0.25">
      <c r="B40" s="165" t="s">
        <v>4</v>
      </c>
      <c r="C40" s="136">
        <v>5</v>
      </c>
      <c r="D40" s="47" t="e">
        <f t="shared" ref="D40:Q40" si="11">E16/D16</f>
        <v>#DIV/0!</v>
      </c>
      <c r="E40" s="48" t="e">
        <f t="shared" si="11"/>
        <v>#DIV/0!</v>
      </c>
      <c r="F40" s="48" t="e">
        <f t="shared" si="11"/>
        <v>#DIV/0!</v>
      </c>
      <c r="G40" s="48" t="e">
        <f t="shared" si="11"/>
        <v>#DIV/0!</v>
      </c>
      <c r="H40" s="48" t="e">
        <f t="shared" si="11"/>
        <v>#DIV/0!</v>
      </c>
      <c r="I40" s="48" t="e">
        <f t="shared" si="11"/>
        <v>#DIV/0!</v>
      </c>
      <c r="J40" s="48" t="e">
        <f t="shared" si="11"/>
        <v>#DIV/0!</v>
      </c>
      <c r="K40" s="48" t="e">
        <f t="shared" si="11"/>
        <v>#DIV/0!</v>
      </c>
      <c r="L40" s="48" t="e">
        <f t="shared" si="11"/>
        <v>#DIV/0!</v>
      </c>
      <c r="M40" s="48" t="e">
        <f t="shared" si="11"/>
        <v>#DIV/0!</v>
      </c>
      <c r="N40" s="48" t="e">
        <f t="shared" si="11"/>
        <v>#DIV/0!</v>
      </c>
      <c r="O40" s="48" t="e">
        <f t="shared" si="11"/>
        <v>#DIV/0!</v>
      </c>
      <c r="P40" s="48" t="e">
        <f t="shared" si="11"/>
        <v>#DIV/0!</v>
      </c>
      <c r="Q40" s="48" t="e">
        <f t="shared" si="11"/>
        <v>#DIV/0!</v>
      </c>
      <c r="R40" s="118"/>
      <c r="S40" s="138"/>
      <c r="T40" s="165" t="s">
        <v>4</v>
      </c>
      <c r="U40" s="136">
        <v>5</v>
      </c>
      <c r="V40" s="47" t="e">
        <f t="shared" ref="V40:AI40" si="12">W16/V16</f>
        <v>#DIV/0!</v>
      </c>
      <c r="W40" s="48" t="e">
        <f t="shared" si="12"/>
        <v>#DIV/0!</v>
      </c>
      <c r="X40" s="48" t="e">
        <f t="shared" si="12"/>
        <v>#DIV/0!</v>
      </c>
      <c r="Y40" s="48" t="e">
        <f t="shared" si="12"/>
        <v>#DIV/0!</v>
      </c>
      <c r="Z40" s="48" t="e">
        <f t="shared" si="12"/>
        <v>#DIV/0!</v>
      </c>
      <c r="AA40" s="48" t="e">
        <f t="shared" si="12"/>
        <v>#DIV/0!</v>
      </c>
      <c r="AB40" s="48" t="e">
        <f t="shared" si="12"/>
        <v>#DIV/0!</v>
      </c>
      <c r="AC40" s="48" t="e">
        <f t="shared" si="12"/>
        <v>#DIV/0!</v>
      </c>
      <c r="AD40" s="48" t="e">
        <f t="shared" si="12"/>
        <v>#DIV/0!</v>
      </c>
      <c r="AE40" s="48" t="e">
        <f t="shared" si="12"/>
        <v>#DIV/0!</v>
      </c>
      <c r="AF40" s="48" t="e">
        <f t="shared" si="12"/>
        <v>#DIV/0!</v>
      </c>
      <c r="AG40" s="48" t="e">
        <f t="shared" si="12"/>
        <v>#DIV/0!</v>
      </c>
      <c r="AH40" s="48" t="e">
        <f t="shared" si="12"/>
        <v>#DIV/0!</v>
      </c>
      <c r="AI40" s="48" t="e">
        <f t="shared" si="12"/>
        <v>#DIV/0!</v>
      </c>
      <c r="AJ40" s="70"/>
    </row>
    <row r="41" spans="2:36" x14ac:dyDescent="0.25">
      <c r="B41" s="166"/>
      <c r="C41" s="136">
        <v>6</v>
      </c>
      <c r="D41" s="47" t="e">
        <f t="shared" ref="D41:Q41" si="13">E17/D17</f>
        <v>#DIV/0!</v>
      </c>
      <c r="E41" s="48" t="e">
        <f t="shared" si="13"/>
        <v>#DIV/0!</v>
      </c>
      <c r="F41" s="48" t="e">
        <f t="shared" si="13"/>
        <v>#DIV/0!</v>
      </c>
      <c r="G41" s="48" t="e">
        <f t="shared" si="13"/>
        <v>#DIV/0!</v>
      </c>
      <c r="H41" s="48" t="e">
        <f t="shared" si="13"/>
        <v>#DIV/0!</v>
      </c>
      <c r="I41" s="48" t="e">
        <f t="shared" si="13"/>
        <v>#DIV/0!</v>
      </c>
      <c r="J41" s="48" t="e">
        <f t="shared" si="13"/>
        <v>#DIV/0!</v>
      </c>
      <c r="K41" s="48" t="e">
        <f t="shared" si="13"/>
        <v>#DIV/0!</v>
      </c>
      <c r="L41" s="48" t="e">
        <f t="shared" si="13"/>
        <v>#DIV/0!</v>
      </c>
      <c r="M41" s="48" t="e">
        <f t="shared" si="13"/>
        <v>#DIV/0!</v>
      </c>
      <c r="N41" s="48" t="e">
        <f t="shared" si="13"/>
        <v>#DIV/0!</v>
      </c>
      <c r="O41" s="48" t="e">
        <f t="shared" si="13"/>
        <v>#DIV/0!</v>
      </c>
      <c r="P41" s="48" t="e">
        <f t="shared" si="13"/>
        <v>#DIV/0!</v>
      </c>
      <c r="Q41" s="48" t="e">
        <f t="shared" si="13"/>
        <v>#DIV/0!</v>
      </c>
      <c r="R41" s="118"/>
      <c r="S41" s="138"/>
      <c r="T41" s="166"/>
      <c r="U41" s="136">
        <v>6</v>
      </c>
      <c r="V41" s="47" t="e">
        <f t="shared" ref="V41:AI41" si="14">W17/V17</f>
        <v>#DIV/0!</v>
      </c>
      <c r="W41" s="48" t="e">
        <f t="shared" si="14"/>
        <v>#DIV/0!</v>
      </c>
      <c r="X41" s="48" t="e">
        <f t="shared" si="14"/>
        <v>#DIV/0!</v>
      </c>
      <c r="Y41" s="48" t="e">
        <f t="shared" si="14"/>
        <v>#DIV/0!</v>
      </c>
      <c r="Z41" s="48" t="e">
        <f t="shared" si="14"/>
        <v>#DIV/0!</v>
      </c>
      <c r="AA41" s="48" t="e">
        <f t="shared" si="14"/>
        <v>#DIV/0!</v>
      </c>
      <c r="AB41" s="48" t="e">
        <f t="shared" si="14"/>
        <v>#DIV/0!</v>
      </c>
      <c r="AC41" s="48" t="e">
        <f t="shared" si="14"/>
        <v>#DIV/0!</v>
      </c>
      <c r="AD41" s="48" t="e">
        <f t="shared" si="14"/>
        <v>#DIV/0!</v>
      </c>
      <c r="AE41" s="48" t="e">
        <f t="shared" si="14"/>
        <v>#DIV/0!</v>
      </c>
      <c r="AF41" s="48" t="e">
        <f t="shared" si="14"/>
        <v>#DIV/0!</v>
      </c>
      <c r="AG41" s="48" t="e">
        <f t="shared" si="14"/>
        <v>#DIV/0!</v>
      </c>
      <c r="AH41" s="48" t="e">
        <f t="shared" si="14"/>
        <v>#DIV/0!</v>
      </c>
      <c r="AI41" s="48" t="e">
        <f t="shared" si="14"/>
        <v>#DIV/0!</v>
      </c>
      <c r="AJ41" s="70"/>
    </row>
    <row r="42" spans="2:36" x14ac:dyDescent="0.25">
      <c r="B42" s="166"/>
      <c r="C42" s="136">
        <v>7</v>
      </c>
      <c r="D42" s="47" t="e">
        <f t="shared" ref="D42:Q42" si="15">E18/D18</f>
        <v>#DIV/0!</v>
      </c>
      <c r="E42" s="48" t="e">
        <f t="shared" si="15"/>
        <v>#DIV/0!</v>
      </c>
      <c r="F42" s="48" t="e">
        <f t="shared" si="15"/>
        <v>#DIV/0!</v>
      </c>
      <c r="G42" s="48" t="e">
        <f t="shared" si="15"/>
        <v>#DIV/0!</v>
      </c>
      <c r="H42" s="48" t="e">
        <f t="shared" si="15"/>
        <v>#DIV/0!</v>
      </c>
      <c r="I42" s="48" t="e">
        <f t="shared" si="15"/>
        <v>#DIV/0!</v>
      </c>
      <c r="J42" s="48" t="e">
        <f t="shared" si="15"/>
        <v>#DIV/0!</v>
      </c>
      <c r="K42" s="48" t="e">
        <f t="shared" si="15"/>
        <v>#DIV/0!</v>
      </c>
      <c r="L42" s="48" t="e">
        <f t="shared" si="15"/>
        <v>#DIV/0!</v>
      </c>
      <c r="M42" s="48" t="e">
        <f t="shared" si="15"/>
        <v>#DIV/0!</v>
      </c>
      <c r="N42" s="48" t="e">
        <f t="shared" si="15"/>
        <v>#DIV/0!</v>
      </c>
      <c r="O42" s="48" t="e">
        <f t="shared" si="15"/>
        <v>#DIV/0!</v>
      </c>
      <c r="P42" s="48" t="e">
        <f t="shared" si="15"/>
        <v>#DIV/0!</v>
      </c>
      <c r="Q42" s="48" t="e">
        <f t="shared" si="15"/>
        <v>#DIV/0!</v>
      </c>
      <c r="R42" s="118"/>
      <c r="S42" s="138"/>
      <c r="T42" s="166"/>
      <c r="U42" s="136">
        <v>7</v>
      </c>
      <c r="V42" s="47" t="e">
        <f t="shared" ref="V42:AI42" si="16">W18/V18</f>
        <v>#DIV/0!</v>
      </c>
      <c r="W42" s="48" t="e">
        <f t="shared" si="16"/>
        <v>#DIV/0!</v>
      </c>
      <c r="X42" s="48" t="e">
        <f t="shared" si="16"/>
        <v>#DIV/0!</v>
      </c>
      <c r="Y42" s="48" t="e">
        <f t="shared" si="16"/>
        <v>#DIV/0!</v>
      </c>
      <c r="Z42" s="48" t="e">
        <f t="shared" si="16"/>
        <v>#DIV/0!</v>
      </c>
      <c r="AA42" s="48" t="e">
        <f t="shared" si="16"/>
        <v>#DIV/0!</v>
      </c>
      <c r="AB42" s="48" t="e">
        <f t="shared" si="16"/>
        <v>#DIV/0!</v>
      </c>
      <c r="AC42" s="48" t="e">
        <f t="shared" si="16"/>
        <v>#DIV/0!</v>
      </c>
      <c r="AD42" s="48" t="e">
        <f t="shared" si="16"/>
        <v>#DIV/0!</v>
      </c>
      <c r="AE42" s="48" t="e">
        <f t="shared" si="16"/>
        <v>#DIV/0!</v>
      </c>
      <c r="AF42" s="48" t="e">
        <f t="shared" si="16"/>
        <v>#DIV/0!</v>
      </c>
      <c r="AG42" s="48" t="e">
        <f t="shared" si="16"/>
        <v>#DIV/0!</v>
      </c>
      <c r="AH42" s="48" t="e">
        <f t="shared" si="16"/>
        <v>#DIV/0!</v>
      </c>
      <c r="AI42" s="48" t="e">
        <f t="shared" si="16"/>
        <v>#DIV/0!</v>
      </c>
      <c r="AJ42" s="70"/>
    </row>
    <row r="43" spans="2:36" x14ac:dyDescent="0.25">
      <c r="B43" s="166"/>
      <c r="C43" s="136">
        <v>8</v>
      </c>
      <c r="D43" s="47" t="e">
        <f t="shared" ref="D43:Q43" si="17">E19/D19</f>
        <v>#DIV/0!</v>
      </c>
      <c r="E43" s="48" t="e">
        <f t="shared" si="17"/>
        <v>#DIV/0!</v>
      </c>
      <c r="F43" s="48" t="e">
        <f t="shared" si="17"/>
        <v>#DIV/0!</v>
      </c>
      <c r="G43" s="48" t="e">
        <f t="shared" si="17"/>
        <v>#DIV/0!</v>
      </c>
      <c r="H43" s="48" t="e">
        <f t="shared" si="17"/>
        <v>#DIV/0!</v>
      </c>
      <c r="I43" s="48" t="e">
        <f t="shared" si="17"/>
        <v>#DIV/0!</v>
      </c>
      <c r="J43" s="48" t="e">
        <f t="shared" si="17"/>
        <v>#DIV/0!</v>
      </c>
      <c r="K43" s="48" t="e">
        <f t="shared" si="17"/>
        <v>#DIV/0!</v>
      </c>
      <c r="L43" s="48" t="e">
        <f t="shared" si="17"/>
        <v>#DIV/0!</v>
      </c>
      <c r="M43" s="48" t="e">
        <f t="shared" si="17"/>
        <v>#DIV/0!</v>
      </c>
      <c r="N43" s="48" t="e">
        <f t="shared" si="17"/>
        <v>#DIV/0!</v>
      </c>
      <c r="O43" s="48" t="e">
        <f t="shared" si="17"/>
        <v>#DIV/0!</v>
      </c>
      <c r="P43" s="48" t="e">
        <f t="shared" si="17"/>
        <v>#DIV/0!</v>
      </c>
      <c r="Q43" s="48" t="e">
        <f t="shared" si="17"/>
        <v>#DIV/0!</v>
      </c>
      <c r="R43" s="118"/>
      <c r="S43" s="138"/>
      <c r="T43" s="166"/>
      <c r="U43" s="136">
        <v>8</v>
      </c>
      <c r="V43" s="47" t="e">
        <f t="shared" ref="V43:AI43" si="18">W19/V19</f>
        <v>#DIV/0!</v>
      </c>
      <c r="W43" s="48" t="e">
        <f t="shared" si="18"/>
        <v>#DIV/0!</v>
      </c>
      <c r="X43" s="48" t="e">
        <f t="shared" si="18"/>
        <v>#DIV/0!</v>
      </c>
      <c r="Y43" s="48" t="e">
        <f t="shared" si="18"/>
        <v>#DIV/0!</v>
      </c>
      <c r="Z43" s="48" t="e">
        <f t="shared" si="18"/>
        <v>#DIV/0!</v>
      </c>
      <c r="AA43" s="48" t="e">
        <f t="shared" si="18"/>
        <v>#DIV/0!</v>
      </c>
      <c r="AB43" s="48" t="e">
        <f t="shared" si="18"/>
        <v>#DIV/0!</v>
      </c>
      <c r="AC43" s="48" t="e">
        <f t="shared" si="18"/>
        <v>#DIV/0!</v>
      </c>
      <c r="AD43" s="48" t="e">
        <f t="shared" si="18"/>
        <v>#DIV/0!</v>
      </c>
      <c r="AE43" s="48" t="e">
        <f t="shared" si="18"/>
        <v>#DIV/0!</v>
      </c>
      <c r="AF43" s="48" t="e">
        <f t="shared" si="18"/>
        <v>#DIV/0!</v>
      </c>
      <c r="AG43" s="48" t="e">
        <f t="shared" si="18"/>
        <v>#DIV/0!</v>
      </c>
      <c r="AH43" s="48" t="e">
        <f t="shared" si="18"/>
        <v>#DIV/0!</v>
      </c>
      <c r="AI43" s="48" t="e">
        <f t="shared" si="18"/>
        <v>#DIV/0!</v>
      </c>
      <c r="AJ43" s="70"/>
    </row>
    <row r="44" spans="2:36" x14ac:dyDescent="0.25">
      <c r="B44" s="166"/>
      <c r="C44" s="136">
        <v>9</v>
      </c>
      <c r="D44" s="47" t="e">
        <f t="shared" ref="D44:Q44" si="19">E20/D20</f>
        <v>#DIV/0!</v>
      </c>
      <c r="E44" s="48" t="e">
        <f t="shared" si="19"/>
        <v>#DIV/0!</v>
      </c>
      <c r="F44" s="48" t="e">
        <f t="shared" si="19"/>
        <v>#DIV/0!</v>
      </c>
      <c r="G44" s="48" t="e">
        <f t="shared" si="19"/>
        <v>#DIV/0!</v>
      </c>
      <c r="H44" s="48" t="e">
        <f t="shared" si="19"/>
        <v>#DIV/0!</v>
      </c>
      <c r="I44" s="48" t="e">
        <f t="shared" si="19"/>
        <v>#DIV/0!</v>
      </c>
      <c r="J44" s="48" t="e">
        <f t="shared" si="19"/>
        <v>#DIV/0!</v>
      </c>
      <c r="K44" s="48" t="e">
        <f t="shared" si="19"/>
        <v>#DIV/0!</v>
      </c>
      <c r="L44" s="48" t="e">
        <f t="shared" si="19"/>
        <v>#DIV/0!</v>
      </c>
      <c r="M44" s="48" t="e">
        <f t="shared" si="19"/>
        <v>#DIV/0!</v>
      </c>
      <c r="N44" s="48" t="e">
        <f t="shared" si="19"/>
        <v>#DIV/0!</v>
      </c>
      <c r="O44" s="48" t="e">
        <f t="shared" si="19"/>
        <v>#DIV/0!</v>
      </c>
      <c r="P44" s="48" t="e">
        <f t="shared" si="19"/>
        <v>#DIV/0!</v>
      </c>
      <c r="Q44" s="48" t="e">
        <f t="shared" si="19"/>
        <v>#DIV/0!</v>
      </c>
      <c r="R44" s="118"/>
      <c r="S44" s="138"/>
      <c r="T44" s="166"/>
      <c r="U44" s="136">
        <v>9</v>
      </c>
      <c r="V44" s="47" t="e">
        <f t="shared" ref="V44:AI44" si="20">W20/V20</f>
        <v>#DIV/0!</v>
      </c>
      <c r="W44" s="48" t="e">
        <f t="shared" si="20"/>
        <v>#DIV/0!</v>
      </c>
      <c r="X44" s="48" t="e">
        <f t="shared" si="20"/>
        <v>#DIV/0!</v>
      </c>
      <c r="Y44" s="48" t="e">
        <f t="shared" si="20"/>
        <v>#DIV/0!</v>
      </c>
      <c r="Z44" s="48" t="e">
        <f t="shared" si="20"/>
        <v>#DIV/0!</v>
      </c>
      <c r="AA44" s="48" t="e">
        <f t="shared" si="20"/>
        <v>#DIV/0!</v>
      </c>
      <c r="AB44" s="48" t="e">
        <f t="shared" si="20"/>
        <v>#DIV/0!</v>
      </c>
      <c r="AC44" s="48" t="e">
        <f t="shared" si="20"/>
        <v>#DIV/0!</v>
      </c>
      <c r="AD44" s="48" t="e">
        <f t="shared" si="20"/>
        <v>#DIV/0!</v>
      </c>
      <c r="AE44" s="48" t="e">
        <f t="shared" si="20"/>
        <v>#DIV/0!</v>
      </c>
      <c r="AF44" s="48" t="e">
        <f t="shared" si="20"/>
        <v>#DIV/0!</v>
      </c>
      <c r="AG44" s="48" t="e">
        <f t="shared" si="20"/>
        <v>#DIV/0!</v>
      </c>
      <c r="AH44" s="48" t="e">
        <f t="shared" si="20"/>
        <v>#DIV/0!</v>
      </c>
      <c r="AI44" s="48" t="e">
        <f t="shared" si="20"/>
        <v>#DIV/0!</v>
      </c>
      <c r="AJ44" s="70"/>
    </row>
    <row r="45" spans="2:36" x14ac:dyDescent="0.25">
      <c r="B45" s="166"/>
      <c r="C45" s="136">
        <v>10</v>
      </c>
      <c r="D45" s="47" t="e">
        <f t="shared" ref="D45:Q45" si="21">E21/D21</f>
        <v>#DIV/0!</v>
      </c>
      <c r="E45" s="48" t="e">
        <f t="shared" si="21"/>
        <v>#DIV/0!</v>
      </c>
      <c r="F45" s="48" t="e">
        <f t="shared" si="21"/>
        <v>#DIV/0!</v>
      </c>
      <c r="G45" s="48" t="e">
        <f t="shared" si="21"/>
        <v>#DIV/0!</v>
      </c>
      <c r="H45" s="48" t="e">
        <f t="shared" si="21"/>
        <v>#DIV/0!</v>
      </c>
      <c r="I45" s="48" t="e">
        <f t="shared" si="21"/>
        <v>#DIV/0!</v>
      </c>
      <c r="J45" s="48" t="e">
        <f t="shared" si="21"/>
        <v>#DIV/0!</v>
      </c>
      <c r="K45" s="48" t="e">
        <f t="shared" si="21"/>
        <v>#DIV/0!</v>
      </c>
      <c r="L45" s="48" t="e">
        <f t="shared" si="21"/>
        <v>#DIV/0!</v>
      </c>
      <c r="M45" s="48" t="e">
        <f t="shared" si="21"/>
        <v>#DIV/0!</v>
      </c>
      <c r="N45" s="48" t="e">
        <f t="shared" si="21"/>
        <v>#DIV/0!</v>
      </c>
      <c r="O45" s="48" t="e">
        <f t="shared" si="21"/>
        <v>#DIV/0!</v>
      </c>
      <c r="P45" s="48" t="e">
        <f t="shared" si="21"/>
        <v>#DIV/0!</v>
      </c>
      <c r="Q45" s="48" t="e">
        <f t="shared" si="21"/>
        <v>#DIV/0!</v>
      </c>
      <c r="R45" s="118"/>
      <c r="S45" s="138"/>
      <c r="T45" s="166"/>
      <c r="U45" s="136">
        <v>10</v>
      </c>
      <c r="V45" s="47" t="e">
        <f t="shared" ref="V45:AI45" si="22">W21/V21</f>
        <v>#DIV/0!</v>
      </c>
      <c r="W45" s="48" t="e">
        <f t="shared" si="22"/>
        <v>#DIV/0!</v>
      </c>
      <c r="X45" s="48" t="e">
        <f t="shared" si="22"/>
        <v>#DIV/0!</v>
      </c>
      <c r="Y45" s="48" t="e">
        <f t="shared" si="22"/>
        <v>#DIV/0!</v>
      </c>
      <c r="Z45" s="48" t="e">
        <f t="shared" si="22"/>
        <v>#DIV/0!</v>
      </c>
      <c r="AA45" s="48" t="e">
        <f t="shared" si="22"/>
        <v>#DIV/0!</v>
      </c>
      <c r="AB45" s="48" t="e">
        <f t="shared" si="22"/>
        <v>#DIV/0!</v>
      </c>
      <c r="AC45" s="48" t="e">
        <f t="shared" si="22"/>
        <v>#DIV/0!</v>
      </c>
      <c r="AD45" s="48" t="e">
        <f t="shared" si="22"/>
        <v>#DIV/0!</v>
      </c>
      <c r="AE45" s="48" t="e">
        <f t="shared" si="22"/>
        <v>#DIV/0!</v>
      </c>
      <c r="AF45" s="48" t="e">
        <f t="shared" si="22"/>
        <v>#DIV/0!</v>
      </c>
      <c r="AG45" s="48" t="e">
        <f t="shared" si="22"/>
        <v>#DIV/0!</v>
      </c>
      <c r="AH45" s="48" t="e">
        <f t="shared" si="22"/>
        <v>#DIV/0!</v>
      </c>
      <c r="AI45" s="48" t="e">
        <f t="shared" si="22"/>
        <v>#DIV/0!</v>
      </c>
      <c r="AJ45" s="70"/>
    </row>
    <row r="46" spans="2:36" x14ac:dyDescent="0.25">
      <c r="B46" s="166"/>
      <c r="C46" s="136">
        <v>11</v>
      </c>
      <c r="D46" s="47" t="e">
        <f t="shared" ref="D46:Q46" si="23">E22/D22</f>
        <v>#DIV/0!</v>
      </c>
      <c r="E46" s="48" t="e">
        <f t="shared" si="23"/>
        <v>#DIV/0!</v>
      </c>
      <c r="F46" s="48" t="e">
        <f t="shared" si="23"/>
        <v>#DIV/0!</v>
      </c>
      <c r="G46" s="48" t="e">
        <f t="shared" si="23"/>
        <v>#DIV/0!</v>
      </c>
      <c r="H46" s="48" t="e">
        <f t="shared" si="23"/>
        <v>#DIV/0!</v>
      </c>
      <c r="I46" s="48" t="e">
        <f t="shared" si="23"/>
        <v>#DIV/0!</v>
      </c>
      <c r="J46" s="48" t="e">
        <f t="shared" si="23"/>
        <v>#DIV/0!</v>
      </c>
      <c r="K46" s="48" t="e">
        <f t="shared" si="23"/>
        <v>#DIV/0!</v>
      </c>
      <c r="L46" s="48" t="e">
        <f t="shared" si="23"/>
        <v>#DIV/0!</v>
      </c>
      <c r="M46" s="48" t="e">
        <f t="shared" si="23"/>
        <v>#DIV/0!</v>
      </c>
      <c r="N46" s="48" t="e">
        <f t="shared" si="23"/>
        <v>#DIV/0!</v>
      </c>
      <c r="O46" s="48" t="e">
        <f t="shared" si="23"/>
        <v>#DIV/0!</v>
      </c>
      <c r="P46" s="48" t="e">
        <f t="shared" si="23"/>
        <v>#DIV/0!</v>
      </c>
      <c r="Q46" s="48" t="e">
        <f t="shared" si="23"/>
        <v>#DIV/0!</v>
      </c>
      <c r="R46" s="118"/>
      <c r="S46" s="138"/>
      <c r="T46" s="166"/>
      <c r="U46" s="136">
        <v>11</v>
      </c>
      <c r="V46" s="47" t="e">
        <f t="shared" ref="V46:AI46" si="24">W22/V22</f>
        <v>#DIV/0!</v>
      </c>
      <c r="W46" s="48" t="e">
        <f t="shared" si="24"/>
        <v>#DIV/0!</v>
      </c>
      <c r="X46" s="48" t="e">
        <f t="shared" si="24"/>
        <v>#DIV/0!</v>
      </c>
      <c r="Y46" s="48" t="e">
        <f t="shared" si="24"/>
        <v>#DIV/0!</v>
      </c>
      <c r="Z46" s="48" t="e">
        <f t="shared" si="24"/>
        <v>#DIV/0!</v>
      </c>
      <c r="AA46" s="48" t="e">
        <f t="shared" si="24"/>
        <v>#DIV/0!</v>
      </c>
      <c r="AB46" s="48" t="e">
        <f t="shared" si="24"/>
        <v>#DIV/0!</v>
      </c>
      <c r="AC46" s="48" t="e">
        <f t="shared" si="24"/>
        <v>#DIV/0!</v>
      </c>
      <c r="AD46" s="48" t="e">
        <f t="shared" si="24"/>
        <v>#DIV/0!</v>
      </c>
      <c r="AE46" s="48" t="e">
        <f t="shared" si="24"/>
        <v>#DIV/0!</v>
      </c>
      <c r="AF46" s="48" t="e">
        <f t="shared" si="24"/>
        <v>#DIV/0!</v>
      </c>
      <c r="AG46" s="48" t="e">
        <f t="shared" si="24"/>
        <v>#DIV/0!</v>
      </c>
      <c r="AH46" s="48" t="e">
        <f t="shared" si="24"/>
        <v>#DIV/0!</v>
      </c>
      <c r="AI46" s="48" t="e">
        <f t="shared" si="24"/>
        <v>#DIV/0!</v>
      </c>
      <c r="AJ46" s="70"/>
    </row>
    <row r="47" spans="2:36" x14ac:dyDescent="0.25">
      <c r="B47" s="166"/>
      <c r="C47" s="136">
        <v>12</v>
      </c>
      <c r="D47" s="47" t="e">
        <f t="shared" ref="D47:Q47" si="25">E23/D23</f>
        <v>#DIV/0!</v>
      </c>
      <c r="E47" s="48" t="e">
        <f t="shared" si="25"/>
        <v>#DIV/0!</v>
      </c>
      <c r="F47" s="48" t="e">
        <f t="shared" si="25"/>
        <v>#DIV/0!</v>
      </c>
      <c r="G47" s="48" t="e">
        <f t="shared" si="25"/>
        <v>#DIV/0!</v>
      </c>
      <c r="H47" s="48" t="e">
        <f t="shared" si="25"/>
        <v>#DIV/0!</v>
      </c>
      <c r="I47" s="48" t="e">
        <f t="shared" si="25"/>
        <v>#DIV/0!</v>
      </c>
      <c r="J47" s="48" t="e">
        <f t="shared" si="25"/>
        <v>#DIV/0!</v>
      </c>
      <c r="K47" s="48" t="e">
        <f t="shared" si="25"/>
        <v>#DIV/0!</v>
      </c>
      <c r="L47" s="48" t="e">
        <f t="shared" si="25"/>
        <v>#DIV/0!</v>
      </c>
      <c r="M47" s="48" t="e">
        <f t="shared" si="25"/>
        <v>#DIV/0!</v>
      </c>
      <c r="N47" s="48" t="e">
        <f t="shared" si="25"/>
        <v>#DIV/0!</v>
      </c>
      <c r="O47" s="48" t="e">
        <f t="shared" si="25"/>
        <v>#DIV/0!</v>
      </c>
      <c r="P47" s="48" t="e">
        <f t="shared" si="25"/>
        <v>#DIV/0!</v>
      </c>
      <c r="Q47" s="48" t="e">
        <f t="shared" si="25"/>
        <v>#DIV/0!</v>
      </c>
      <c r="R47" s="118"/>
      <c r="S47" s="138"/>
      <c r="T47" s="166"/>
      <c r="U47" s="136">
        <v>12</v>
      </c>
      <c r="V47" s="47" t="e">
        <f t="shared" ref="V47:AI47" si="26">W23/V23</f>
        <v>#DIV/0!</v>
      </c>
      <c r="W47" s="48" t="e">
        <f t="shared" si="26"/>
        <v>#DIV/0!</v>
      </c>
      <c r="X47" s="48" t="e">
        <f t="shared" si="26"/>
        <v>#DIV/0!</v>
      </c>
      <c r="Y47" s="48" t="e">
        <f t="shared" si="26"/>
        <v>#DIV/0!</v>
      </c>
      <c r="Z47" s="48" t="e">
        <f t="shared" si="26"/>
        <v>#DIV/0!</v>
      </c>
      <c r="AA47" s="48" t="e">
        <f t="shared" si="26"/>
        <v>#DIV/0!</v>
      </c>
      <c r="AB47" s="48" t="e">
        <f t="shared" si="26"/>
        <v>#DIV/0!</v>
      </c>
      <c r="AC47" s="48" t="e">
        <f t="shared" si="26"/>
        <v>#DIV/0!</v>
      </c>
      <c r="AD47" s="48" t="e">
        <f t="shared" si="26"/>
        <v>#DIV/0!</v>
      </c>
      <c r="AE47" s="48" t="e">
        <f t="shared" si="26"/>
        <v>#DIV/0!</v>
      </c>
      <c r="AF47" s="48" t="e">
        <f t="shared" si="26"/>
        <v>#DIV/0!</v>
      </c>
      <c r="AG47" s="48" t="e">
        <f t="shared" si="26"/>
        <v>#DIV/0!</v>
      </c>
      <c r="AH47" s="48" t="e">
        <f t="shared" si="26"/>
        <v>#DIV/0!</v>
      </c>
      <c r="AI47" s="48" t="e">
        <f t="shared" si="26"/>
        <v>#DIV/0!</v>
      </c>
      <c r="AJ47" s="70"/>
    </row>
    <row r="48" spans="2:36" x14ac:dyDescent="0.25">
      <c r="B48" s="166"/>
      <c r="C48" s="136">
        <v>13</v>
      </c>
      <c r="D48" s="47" t="e">
        <f t="shared" ref="D48:Q48" si="27">E24/D24</f>
        <v>#DIV/0!</v>
      </c>
      <c r="E48" s="48" t="e">
        <f t="shared" si="27"/>
        <v>#DIV/0!</v>
      </c>
      <c r="F48" s="48" t="e">
        <f t="shared" si="27"/>
        <v>#DIV/0!</v>
      </c>
      <c r="G48" s="48" t="e">
        <f t="shared" si="27"/>
        <v>#DIV/0!</v>
      </c>
      <c r="H48" s="48" t="e">
        <f t="shared" si="27"/>
        <v>#DIV/0!</v>
      </c>
      <c r="I48" s="48" t="e">
        <f t="shared" si="27"/>
        <v>#DIV/0!</v>
      </c>
      <c r="J48" s="48" t="e">
        <f t="shared" si="27"/>
        <v>#DIV/0!</v>
      </c>
      <c r="K48" s="48" t="e">
        <f t="shared" si="27"/>
        <v>#DIV/0!</v>
      </c>
      <c r="L48" s="48" t="e">
        <f t="shared" si="27"/>
        <v>#DIV/0!</v>
      </c>
      <c r="M48" s="48" t="e">
        <f t="shared" si="27"/>
        <v>#DIV/0!</v>
      </c>
      <c r="N48" s="48" t="e">
        <f t="shared" si="27"/>
        <v>#DIV/0!</v>
      </c>
      <c r="O48" s="48" t="e">
        <f t="shared" si="27"/>
        <v>#DIV/0!</v>
      </c>
      <c r="P48" s="48" t="e">
        <f t="shared" si="27"/>
        <v>#DIV/0!</v>
      </c>
      <c r="Q48" s="48" t="e">
        <f t="shared" si="27"/>
        <v>#DIV/0!</v>
      </c>
      <c r="R48" s="118"/>
      <c r="S48" s="138"/>
      <c r="T48" s="166"/>
      <c r="U48" s="136">
        <v>13</v>
      </c>
      <c r="V48" s="47" t="e">
        <f t="shared" ref="V48:AI48" si="28">W24/V24</f>
        <v>#DIV/0!</v>
      </c>
      <c r="W48" s="48" t="e">
        <f t="shared" si="28"/>
        <v>#DIV/0!</v>
      </c>
      <c r="X48" s="48" t="e">
        <f t="shared" si="28"/>
        <v>#DIV/0!</v>
      </c>
      <c r="Y48" s="48" t="e">
        <f t="shared" si="28"/>
        <v>#DIV/0!</v>
      </c>
      <c r="Z48" s="48" t="e">
        <f t="shared" si="28"/>
        <v>#DIV/0!</v>
      </c>
      <c r="AA48" s="48" t="e">
        <f t="shared" si="28"/>
        <v>#DIV/0!</v>
      </c>
      <c r="AB48" s="48" t="e">
        <f t="shared" si="28"/>
        <v>#DIV/0!</v>
      </c>
      <c r="AC48" s="48" t="e">
        <f t="shared" si="28"/>
        <v>#DIV/0!</v>
      </c>
      <c r="AD48" s="48" t="e">
        <f t="shared" si="28"/>
        <v>#DIV/0!</v>
      </c>
      <c r="AE48" s="48" t="e">
        <f t="shared" si="28"/>
        <v>#DIV/0!</v>
      </c>
      <c r="AF48" s="48" t="e">
        <f t="shared" si="28"/>
        <v>#DIV/0!</v>
      </c>
      <c r="AG48" s="48" t="e">
        <f t="shared" si="28"/>
        <v>#DIV/0!</v>
      </c>
      <c r="AH48" s="48" t="e">
        <f t="shared" si="28"/>
        <v>#DIV/0!</v>
      </c>
      <c r="AI48" s="48" t="e">
        <f t="shared" si="28"/>
        <v>#DIV/0!</v>
      </c>
      <c r="AJ48" s="70"/>
    </row>
    <row r="49" spans="2:36" x14ac:dyDescent="0.25">
      <c r="B49" s="166"/>
      <c r="C49" s="136">
        <v>14</v>
      </c>
      <c r="D49" s="47" t="e">
        <f t="shared" ref="D49:Q49" si="29">E25/D25</f>
        <v>#DIV/0!</v>
      </c>
      <c r="E49" s="48" t="e">
        <f t="shared" si="29"/>
        <v>#DIV/0!</v>
      </c>
      <c r="F49" s="48" t="e">
        <f t="shared" si="29"/>
        <v>#DIV/0!</v>
      </c>
      <c r="G49" s="48" t="e">
        <f t="shared" si="29"/>
        <v>#DIV/0!</v>
      </c>
      <c r="H49" s="48" t="e">
        <f t="shared" si="29"/>
        <v>#DIV/0!</v>
      </c>
      <c r="I49" s="48" t="e">
        <f t="shared" si="29"/>
        <v>#DIV/0!</v>
      </c>
      <c r="J49" s="48" t="e">
        <f t="shared" si="29"/>
        <v>#DIV/0!</v>
      </c>
      <c r="K49" s="48" t="e">
        <f t="shared" si="29"/>
        <v>#DIV/0!</v>
      </c>
      <c r="L49" s="48" t="e">
        <f t="shared" si="29"/>
        <v>#DIV/0!</v>
      </c>
      <c r="M49" s="48" t="e">
        <f t="shared" si="29"/>
        <v>#DIV/0!</v>
      </c>
      <c r="N49" s="48" t="e">
        <f t="shared" si="29"/>
        <v>#DIV/0!</v>
      </c>
      <c r="O49" s="48" t="e">
        <f t="shared" si="29"/>
        <v>#DIV/0!</v>
      </c>
      <c r="P49" s="48" t="e">
        <f t="shared" si="29"/>
        <v>#DIV/0!</v>
      </c>
      <c r="Q49" s="48" t="e">
        <f t="shared" si="29"/>
        <v>#DIV/0!</v>
      </c>
      <c r="R49" s="118"/>
      <c r="S49" s="138"/>
      <c r="T49" s="166"/>
      <c r="U49" s="136">
        <v>14</v>
      </c>
      <c r="V49" s="47" t="e">
        <f t="shared" ref="V49:AI49" si="30">W25/V25</f>
        <v>#DIV/0!</v>
      </c>
      <c r="W49" s="48" t="e">
        <f t="shared" si="30"/>
        <v>#DIV/0!</v>
      </c>
      <c r="X49" s="48" t="e">
        <f t="shared" si="30"/>
        <v>#DIV/0!</v>
      </c>
      <c r="Y49" s="48" t="e">
        <f t="shared" si="30"/>
        <v>#DIV/0!</v>
      </c>
      <c r="Z49" s="48" t="e">
        <f t="shared" si="30"/>
        <v>#DIV/0!</v>
      </c>
      <c r="AA49" s="48" t="e">
        <f t="shared" si="30"/>
        <v>#DIV/0!</v>
      </c>
      <c r="AB49" s="48" t="e">
        <f t="shared" si="30"/>
        <v>#DIV/0!</v>
      </c>
      <c r="AC49" s="48" t="e">
        <f t="shared" si="30"/>
        <v>#DIV/0!</v>
      </c>
      <c r="AD49" s="48" t="e">
        <f t="shared" si="30"/>
        <v>#DIV/0!</v>
      </c>
      <c r="AE49" s="48" t="e">
        <f t="shared" si="30"/>
        <v>#DIV/0!</v>
      </c>
      <c r="AF49" s="48" t="e">
        <f t="shared" si="30"/>
        <v>#DIV/0!</v>
      </c>
      <c r="AG49" s="48" t="e">
        <f t="shared" si="30"/>
        <v>#DIV/0!</v>
      </c>
      <c r="AH49" s="48" t="e">
        <f t="shared" si="30"/>
        <v>#DIV/0!</v>
      </c>
      <c r="AI49" s="48" t="e">
        <f t="shared" si="30"/>
        <v>#DIV/0!</v>
      </c>
      <c r="AJ49" s="70"/>
    </row>
    <row r="50" spans="2:36" x14ac:dyDescent="0.25">
      <c r="B50" s="166"/>
      <c r="C50" s="136">
        <v>15</v>
      </c>
      <c r="D50" s="47" t="e">
        <f t="shared" ref="D50:Q50" si="31">E26/D26</f>
        <v>#DIV/0!</v>
      </c>
      <c r="E50" s="48" t="e">
        <f t="shared" si="31"/>
        <v>#DIV/0!</v>
      </c>
      <c r="F50" s="48" t="e">
        <f t="shared" si="31"/>
        <v>#DIV/0!</v>
      </c>
      <c r="G50" s="48" t="e">
        <f t="shared" si="31"/>
        <v>#DIV/0!</v>
      </c>
      <c r="H50" s="48" t="e">
        <f t="shared" si="31"/>
        <v>#DIV/0!</v>
      </c>
      <c r="I50" s="48" t="e">
        <f t="shared" si="31"/>
        <v>#DIV/0!</v>
      </c>
      <c r="J50" s="48" t="e">
        <f t="shared" si="31"/>
        <v>#DIV/0!</v>
      </c>
      <c r="K50" s="48" t="e">
        <f t="shared" si="31"/>
        <v>#DIV/0!</v>
      </c>
      <c r="L50" s="48" t="e">
        <f t="shared" si="31"/>
        <v>#DIV/0!</v>
      </c>
      <c r="M50" s="48" t="e">
        <f t="shared" si="31"/>
        <v>#DIV/0!</v>
      </c>
      <c r="N50" s="48" t="e">
        <f t="shared" si="31"/>
        <v>#DIV/0!</v>
      </c>
      <c r="O50" s="48" t="e">
        <f t="shared" si="31"/>
        <v>#DIV/0!</v>
      </c>
      <c r="P50" s="48" t="e">
        <f t="shared" si="31"/>
        <v>#DIV/0!</v>
      </c>
      <c r="Q50" s="48" t="e">
        <f t="shared" si="31"/>
        <v>#DIV/0!</v>
      </c>
      <c r="R50" s="118"/>
      <c r="S50" s="138"/>
      <c r="T50" s="166"/>
      <c r="U50" s="136">
        <v>15</v>
      </c>
      <c r="V50" s="47" t="e">
        <f t="shared" ref="V50:AI50" si="32">W26/V26</f>
        <v>#DIV/0!</v>
      </c>
      <c r="W50" s="48" t="e">
        <f t="shared" si="32"/>
        <v>#DIV/0!</v>
      </c>
      <c r="X50" s="48" t="e">
        <f t="shared" si="32"/>
        <v>#DIV/0!</v>
      </c>
      <c r="Y50" s="48" t="e">
        <f t="shared" si="32"/>
        <v>#DIV/0!</v>
      </c>
      <c r="Z50" s="48" t="e">
        <f t="shared" si="32"/>
        <v>#DIV/0!</v>
      </c>
      <c r="AA50" s="48" t="e">
        <f t="shared" si="32"/>
        <v>#DIV/0!</v>
      </c>
      <c r="AB50" s="48" t="e">
        <f t="shared" si="32"/>
        <v>#DIV/0!</v>
      </c>
      <c r="AC50" s="48" t="e">
        <f t="shared" si="32"/>
        <v>#DIV/0!</v>
      </c>
      <c r="AD50" s="48" t="e">
        <f t="shared" si="32"/>
        <v>#DIV/0!</v>
      </c>
      <c r="AE50" s="48" t="e">
        <f t="shared" si="32"/>
        <v>#DIV/0!</v>
      </c>
      <c r="AF50" s="48" t="e">
        <f t="shared" si="32"/>
        <v>#DIV/0!</v>
      </c>
      <c r="AG50" s="48" t="e">
        <f t="shared" si="32"/>
        <v>#DIV/0!</v>
      </c>
      <c r="AH50" s="48" t="e">
        <f t="shared" si="32"/>
        <v>#DIV/0!</v>
      </c>
      <c r="AI50" s="48" t="e">
        <f t="shared" si="32"/>
        <v>#DIV/0!</v>
      </c>
      <c r="AJ50" s="70"/>
    </row>
    <row r="51" spans="2:36" x14ac:dyDescent="0.25">
      <c r="B51" s="166"/>
      <c r="C51" s="136">
        <v>16</v>
      </c>
      <c r="D51" s="47" t="e">
        <f t="shared" ref="D51:Q51" si="33">E27/D27</f>
        <v>#DIV/0!</v>
      </c>
      <c r="E51" s="48" t="e">
        <f t="shared" si="33"/>
        <v>#DIV/0!</v>
      </c>
      <c r="F51" s="48" t="e">
        <f t="shared" si="33"/>
        <v>#DIV/0!</v>
      </c>
      <c r="G51" s="48" t="e">
        <f t="shared" si="33"/>
        <v>#DIV/0!</v>
      </c>
      <c r="H51" s="48" t="e">
        <f t="shared" si="33"/>
        <v>#DIV/0!</v>
      </c>
      <c r="I51" s="48" t="e">
        <f t="shared" si="33"/>
        <v>#DIV/0!</v>
      </c>
      <c r="J51" s="48" t="e">
        <f t="shared" si="33"/>
        <v>#DIV/0!</v>
      </c>
      <c r="K51" s="48" t="e">
        <f t="shared" si="33"/>
        <v>#DIV/0!</v>
      </c>
      <c r="L51" s="48" t="e">
        <f t="shared" si="33"/>
        <v>#DIV/0!</v>
      </c>
      <c r="M51" s="48" t="e">
        <f t="shared" si="33"/>
        <v>#DIV/0!</v>
      </c>
      <c r="N51" s="48" t="e">
        <f t="shared" si="33"/>
        <v>#DIV/0!</v>
      </c>
      <c r="O51" s="48" t="e">
        <f t="shared" si="33"/>
        <v>#DIV/0!</v>
      </c>
      <c r="P51" s="48" t="e">
        <f t="shared" si="33"/>
        <v>#DIV/0!</v>
      </c>
      <c r="Q51" s="48" t="e">
        <f t="shared" si="33"/>
        <v>#DIV/0!</v>
      </c>
      <c r="R51" s="118"/>
      <c r="S51" s="138"/>
      <c r="T51" s="166"/>
      <c r="U51" s="136">
        <v>16</v>
      </c>
      <c r="V51" s="47" t="e">
        <f t="shared" ref="V51:AI51" si="34">W27/V27</f>
        <v>#DIV/0!</v>
      </c>
      <c r="W51" s="48" t="e">
        <f t="shared" si="34"/>
        <v>#DIV/0!</v>
      </c>
      <c r="X51" s="48" t="e">
        <f t="shared" si="34"/>
        <v>#DIV/0!</v>
      </c>
      <c r="Y51" s="48" t="e">
        <f t="shared" si="34"/>
        <v>#DIV/0!</v>
      </c>
      <c r="Z51" s="48" t="e">
        <f t="shared" si="34"/>
        <v>#DIV/0!</v>
      </c>
      <c r="AA51" s="48" t="e">
        <f t="shared" si="34"/>
        <v>#DIV/0!</v>
      </c>
      <c r="AB51" s="48" t="e">
        <f t="shared" si="34"/>
        <v>#DIV/0!</v>
      </c>
      <c r="AC51" s="48" t="e">
        <f t="shared" si="34"/>
        <v>#DIV/0!</v>
      </c>
      <c r="AD51" s="48" t="e">
        <f t="shared" si="34"/>
        <v>#DIV/0!</v>
      </c>
      <c r="AE51" s="48" t="e">
        <f t="shared" si="34"/>
        <v>#DIV/0!</v>
      </c>
      <c r="AF51" s="48" t="e">
        <f t="shared" si="34"/>
        <v>#DIV/0!</v>
      </c>
      <c r="AG51" s="48" t="e">
        <f t="shared" si="34"/>
        <v>#DIV/0!</v>
      </c>
      <c r="AH51" s="48" t="e">
        <f t="shared" si="34"/>
        <v>#DIV/0!</v>
      </c>
      <c r="AI51" s="48" t="e">
        <f t="shared" si="34"/>
        <v>#DIV/0!</v>
      </c>
      <c r="AJ51" s="70"/>
    </row>
    <row r="52" spans="2:36" x14ac:dyDescent="0.25">
      <c r="B52" s="166"/>
      <c r="C52" s="136">
        <v>17</v>
      </c>
      <c r="D52" s="47" t="e">
        <f t="shared" ref="D52:Q52" si="35">E28/D28</f>
        <v>#DIV/0!</v>
      </c>
      <c r="E52" s="48" t="e">
        <f t="shared" si="35"/>
        <v>#DIV/0!</v>
      </c>
      <c r="F52" s="48" t="e">
        <f t="shared" si="35"/>
        <v>#DIV/0!</v>
      </c>
      <c r="G52" s="48" t="e">
        <f t="shared" si="35"/>
        <v>#DIV/0!</v>
      </c>
      <c r="H52" s="48" t="e">
        <f t="shared" si="35"/>
        <v>#DIV/0!</v>
      </c>
      <c r="I52" s="48" t="e">
        <f t="shared" si="35"/>
        <v>#DIV/0!</v>
      </c>
      <c r="J52" s="48" t="e">
        <f t="shared" si="35"/>
        <v>#DIV/0!</v>
      </c>
      <c r="K52" s="48" t="e">
        <f t="shared" si="35"/>
        <v>#DIV/0!</v>
      </c>
      <c r="L52" s="48" t="e">
        <f t="shared" si="35"/>
        <v>#DIV/0!</v>
      </c>
      <c r="M52" s="48" t="e">
        <f t="shared" si="35"/>
        <v>#DIV/0!</v>
      </c>
      <c r="N52" s="48" t="e">
        <f t="shared" si="35"/>
        <v>#DIV/0!</v>
      </c>
      <c r="O52" s="48" t="e">
        <f t="shared" si="35"/>
        <v>#DIV/0!</v>
      </c>
      <c r="P52" s="48" t="e">
        <f t="shared" si="35"/>
        <v>#DIV/0!</v>
      </c>
      <c r="Q52" s="48" t="e">
        <f t="shared" si="35"/>
        <v>#DIV/0!</v>
      </c>
      <c r="R52" s="118"/>
      <c r="S52" s="138"/>
      <c r="T52" s="166"/>
      <c r="U52" s="136">
        <v>17</v>
      </c>
      <c r="V52" s="47" t="e">
        <f t="shared" ref="V52:AI52" si="36">W28/V28</f>
        <v>#DIV/0!</v>
      </c>
      <c r="W52" s="48" t="e">
        <f t="shared" si="36"/>
        <v>#DIV/0!</v>
      </c>
      <c r="X52" s="48" t="e">
        <f t="shared" si="36"/>
        <v>#DIV/0!</v>
      </c>
      <c r="Y52" s="48" t="e">
        <f t="shared" si="36"/>
        <v>#DIV/0!</v>
      </c>
      <c r="Z52" s="48" t="e">
        <f t="shared" si="36"/>
        <v>#DIV/0!</v>
      </c>
      <c r="AA52" s="48" t="e">
        <f t="shared" si="36"/>
        <v>#DIV/0!</v>
      </c>
      <c r="AB52" s="48" t="e">
        <f t="shared" si="36"/>
        <v>#DIV/0!</v>
      </c>
      <c r="AC52" s="48" t="e">
        <f t="shared" si="36"/>
        <v>#DIV/0!</v>
      </c>
      <c r="AD52" s="48" t="e">
        <f t="shared" si="36"/>
        <v>#DIV/0!</v>
      </c>
      <c r="AE52" s="48" t="e">
        <f t="shared" si="36"/>
        <v>#DIV/0!</v>
      </c>
      <c r="AF52" s="48" t="e">
        <f t="shared" si="36"/>
        <v>#DIV/0!</v>
      </c>
      <c r="AG52" s="48" t="e">
        <f t="shared" si="36"/>
        <v>#DIV/0!</v>
      </c>
      <c r="AH52" s="48" t="e">
        <f t="shared" si="36"/>
        <v>#DIV/0!</v>
      </c>
      <c r="AI52" s="48" t="e">
        <f t="shared" si="36"/>
        <v>#DIV/0!</v>
      </c>
      <c r="AJ52" s="70"/>
    </row>
    <row r="53" spans="2:36" x14ac:dyDescent="0.25">
      <c r="B53" s="166"/>
      <c r="C53" s="136">
        <v>18</v>
      </c>
      <c r="D53" s="47" t="e">
        <f t="shared" ref="D53:Q53" si="37">E29/D29</f>
        <v>#DIV/0!</v>
      </c>
      <c r="E53" s="48" t="e">
        <f t="shared" si="37"/>
        <v>#DIV/0!</v>
      </c>
      <c r="F53" s="48" t="e">
        <f t="shared" si="37"/>
        <v>#DIV/0!</v>
      </c>
      <c r="G53" s="48" t="e">
        <f t="shared" si="37"/>
        <v>#DIV/0!</v>
      </c>
      <c r="H53" s="48" t="e">
        <f t="shared" si="37"/>
        <v>#DIV/0!</v>
      </c>
      <c r="I53" s="48" t="e">
        <f t="shared" si="37"/>
        <v>#DIV/0!</v>
      </c>
      <c r="J53" s="48" t="e">
        <f t="shared" si="37"/>
        <v>#DIV/0!</v>
      </c>
      <c r="K53" s="48" t="e">
        <f t="shared" si="37"/>
        <v>#DIV/0!</v>
      </c>
      <c r="L53" s="48" t="e">
        <f t="shared" si="37"/>
        <v>#DIV/0!</v>
      </c>
      <c r="M53" s="48" t="e">
        <f t="shared" si="37"/>
        <v>#DIV/0!</v>
      </c>
      <c r="N53" s="48" t="e">
        <f t="shared" si="37"/>
        <v>#DIV/0!</v>
      </c>
      <c r="O53" s="48" t="e">
        <f t="shared" si="37"/>
        <v>#DIV/0!</v>
      </c>
      <c r="P53" s="48" t="e">
        <f t="shared" si="37"/>
        <v>#DIV/0!</v>
      </c>
      <c r="Q53" s="48" t="e">
        <f t="shared" si="37"/>
        <v>#DIV/0!</v>
      </c>
      <c r="R53" s="118"/>
      <c r="S53" s="138"/>
      <c r="T53" s="166"/>
      <c r="U53" s="136">
        <v>18</v>
      </c>
      <c r="V53" s="47" t="e">
        <f t="shared" ref="V53:AI53" si="38">W29/V29</f>
        <v>#DIV/0!</v>
      </c>
      <c r="W53" s="48" t="e">
        <f t="shared" si="38"/>
        <v>#DIV/0!</v>
      </c>
      <c r="X53" s="48" t="e">
        <f t="shared" si="38"/>
        <v>#DIV/0!</v>
      </c>
      <c r="Y53" s="48" t="e">
        <f t="shared" si="38"/>
        <v>#DIV/0!</v>
      </c>
      <c r="Z53" s="48" t="e">
        <f t="shared" si="38"/>
        <v>#DIV/0!</v>
      </c>
      <c r="AA53" s="48" t="e">
        <f t="shared" si="38"/>
        <v>#DIV/0!</v>
      </c>
      <c r="AB53" s="48" t="e">
        <f t="shared" si="38"/>
        <v>#DIV/0!</v>
      </c>
      <c r="AC53" s="48" t="e">
        <f t="shared" si="38"/>
        <v>#DIV/0!</v>
      </c>
      <c r="AD53" s="48" t="e">
        <f t="shared" si="38"/>
        <v>#DIV/0!</v>
      </c>
      <c r="AE53" s="48" t="e">
        <f t="shared" si="38"/>
        <v>#DIV/0!</v>
      </c>
      <c r="AF53" s="48" t="e">
        <f t="shared" si="38"/>
        <v>#DIV/0!</v>
      </c>
      <c r="AG53" s="48" t="e">
        <f t="shared" si="38"/>
        <v>#DIV/0!</v>
      </c>
      <c r="AH53" s="48" t="e">
        <f t="shared" si="38"/>
        <v>#DIV/0!</v>
      </c>
      <c r="AI53" s="48" t="e">
        <f t="shared" si="38"/>
        <v>#DIV/0!</v>
      </c>
      <c r="AJ53" s="70"/>
    </row>
    <row r="54" spans="2:36" x14ac:dyDescent="0.25">
      <c r="B54" s="166"/>
      <c r="C54" s="136">
        <v>19</v>
      </c>
      <c r="D54" s="47" t="e">
        <f t="shared" ref="D54:Q54" si="39">E30/D30</f>
        <v>#DIV/0!</v>
      </c>
      <c r="E54" s="48" t="e">
        <f t="shared" si="39"/>
        <v>#DIV/0!</v>
      </c>
      <c r="F54" s="48" t="e">
        <f t="shared" si="39"/>
        <v>#DIV/0!</v>
      </c>
      <c r="G54" s="48" t="e">
        <f t="shared" si="39"/>
        <v>#DIV/0!</v>
      </c>
      <c r="H54" s="48" t="e">
        <f t="shared" si="39"/>
        <v>#DIV/0!</v>
      </c>
      <c r="I54" s="48" t="e">
        <f t="shared" si="39"/>
        <v>#DIV/0!</v>
      </c>
      <c r="J54" s="48" t="e">
        <f t="shared" si="39"/>
        <v>#DIV/0!</v>
      </c>
      <c r="K54" s="48" t="e">
        <f t="shared" si="39"/>
        <v>#DIV/0!</v>
      </c>
      <c r="L54" s="48" t="e">
        <f t="shared" si="39"/>
        <v>#DIV/0!</v>
      </c>
      <c r="M54" s="48" t="e">
        <f t="shared" si="39"/>
        <v>#DIV/0!</v>
      </c>
      <c r="N54" s="48" t="e">
        <f t="shared" si="39"/>
        <v>#DIV/0!</v>
      </c>
      <c r="O54" s="48" t="e">
        <f t="shared" si="39"/>
        <v>#DIV/0!</v>
      </c>
      <c r="P54" s="48" t="e">
        <f t="shared" si="39"/>
        <v>#DIV/0!</v>
      </c>
      <c r="Q54" s="48" t="e">
        <f t="shared" si="39"/>
        <v>#DIV/0!</v>
      </c>
      <c r="R54" s="118"/>
      <c r="S54" s="138"/>
      <c r="T54" s="166"/>
      <c r="U54" s="136">
        <v>19</v>
      </c>
      <c r="V54" s="47" t="e">
        <f t="shared" ref="V54:AI54" si="40">W30/V30</f>
        <v>#DIV/0!</v>
      </c>
      <c r="W54" s="48" t="e">
        <f t="shared" si="40"/>
        <v>#DIV/0!</v>
      </c>
      <c r="X54" s="48" t="e">
        <f t="shared" si="40"/>
        <v>#DIV/0!</v>
      </c>
      <c r="Y54" s="48" t="e">
        <f t="shared" si="40"/>
        <v>#DIV/0!</v>
      </c>
      <c r="Z54" s="48" t="e">
        <f t="shared" si="40"/>
        <v>#DIV/0!</v>
      </c>
      <c r="AA54" s="48" t="e">
        <f t="shared" si="40"/>
        <v>#DIV/0!</v>
      </c>
      <c r="AB54" s="48" t="e">
        <f t="shared" si="40"/>
        <v>#DIV/0!</v>
      </c>
      <c r="AC54" s="48" t="e">
        <f t="shared" si="40"/>
        <v>#DIV/0!</v>
      </c>
      <c r="AD54" s="48" t="e">
        <f t="shared" si="40"/>
        <v>#DIV/0!</v>
      </c>
      <c r="AE54" s="48" t="e">
        <f t="shared" si="40"/>
        <v>#DIV/0!</v>
      </c>
      <c r="AF54" s="48" t="e">
        <f t="shared" si="40"/>
        <v>#DIV/0!</v>
      </c>
      <c r="AG54" s="48" t="e">
        <f t="shared" si="40"/>
        <v>#DIV/0!</v>
      </c>
      <c r="AH54" s="48" t="e">
        <f t="shared" si="40"/>
        <v>#DIV/0!</v>
      </c>
      <c r="AI54" s="48" t="e">
        <f t="shared" si="40"/>
        <v>#DIV/0!</v>
      </c>
      <c r="AJ54" s="70"/>
    </row>
    <row r="55" spans="2:36" x14ac:dyDescent="0.25">
      <c r="B55" s="167"/>
      <c r="C55" s="136">
        <v>20</v>
      </c>
      <c r="D55" s="54" t="e">
        <f t="shared" ref="D55:Q55" si="41">E31/D31</f>
        <v>#DIV/0!</v>
      </c>
      <c r="E55" s="50" t="e">
        <f t="shared" si="41"/>
        <v>#DIV/0!</v>
      </c>
      <c r="F55" s="50" t="e">
        <f t="shared" si="41"/>
        <v>#DIV/0!</v>
      </c>
      <c r="G55" s="50" t="e">
        <f t="shared" si="41"/>
        <v>#DIV/0!</v>
      </c>
      <c r="H55" s="50" t="e">
        <f t="shared" si="41"/>
        <v>#DIV/0!</v>
      </c>
      <c r="I55" s="50" t="e">
        <f t="shared" si="41"/>
        <v>#DIV/0!</v>
      </c>
      <c r="J55" s="50" t="e">
        <f t="shared" si="41"/>
        <v>#DIV/0!</v>
      </c>
      <c r="K55" s="50" t="e">
        <f t="shared" si="41"/>
        <v>#DIV/0!</v>
      </c>
      <c r="L55" s="50" t="e">
        <f t="shared" si="41"/>
        <v>#DIV/0!</v>
      </c>
      <c r="M55" s="50" t="e">
        <f t="shared" si="41"/>
        <v>#DIV/0!</v>
      </c>
      <c r="N55" s="50" t="e">
        <f t="shared" si="41"/>
        <v>#DIV/0!</v>
      </c>
      <c r="O55" s="50" t="e">
        <f t="shared" si="41"/>
        <v>#DIV/0!</v>
      </c>
      <c r="P55" s="50" t="e">
        <f t="shared" si="41"/>
        <v>#DIV/0!</v>
      </c>
      <c r="Q55" s="50" t="e">
        <f t="shared" si="41"/>
        <v>#DIV/0!</v>
      </c>
      <c r="R55" s="118"/>
      <c r="S55" s="138"/>
      <c r="T55" s="167"/>
      <c r="U55" s="136">
        <v>20</v>
      </c>
      <c r="V55" s="54" t="e">
        <f t="shared" ref="V55:AI55" si="42">W31/V31</f>
        <v>#DIV/0!</v>
      </c>
      <c r="W55" s="50" t="e">
        <f t="shared" si="42"/>
        <v>#DIV/0!</v>
      </c>
      <c r="X55" s="50" t="e">
        <f t="shared" si="42"/>
        <v>#DIV/0!</v>
      </c>
      <c r="Y55" s="50" t="e">
        <f t="shared" si="42"/>
        <v>#DIV/0!</v>
      </c>
      <c r="Z55" s="50" t="e">
        <f t="shared" si="42"/>
        <v>#DIV/0!</v>
      </c>
      <c r="AA55" s="50" t="e">
        <f t="shared" si="42"/>
        <v>#DIV/0!</v>
      </c>
      <c r="AB55" s="50" t="e">
        <f t="shared" si="42"/>
        <v>#DIV/0!</v>
      </c>
      <c r="AC55" s="50" t="e">
        <f t="shared" si="42"/>
        <v>#DIV/0!</v>
      </c>
      <c r="AD55" s="50" t="e">
        <f t="shared" si="42"/>
        <v>#DIV/0!</v>
      </c>
      <c r="AE55" s="50" t="e">
        <f t="shared" si="42"/>
        <v>#DIV/0!</v>
      </c>
      <c r="AF55" s="50" t="e">
        <f t="shared" si="42"/>
        <v>#DIV/0!</v>
      </c>
      <c r="AG55" s="50" t="e">
        <f t="shared" si="42"/>
        <v>#DIV/0!</v>
      </c>
      <c r="AH55" s="50" t="e">
        <f t="shared" si="42"/>
        <v>#DIV/0!</v>
      </c>
      <c r="AI55" s="50" t="e">
        <f t="shared" si="42"/>
        <v>#DIV/0!</v>
      </c>
      <c r="AJ55" s="70"/>
    </row>
    <row r="56" spans="2:36" ht="17.25" customHeight="1" x14ac:dyDescent="0.25">
      <c r="B56" s="161" t="s">
        <v>48</v>
      </c>
      <c r="C56" s="161"/>
      <c r="D56" s="129" t="e">
        <f t="shared" ref="D56:Q56" si="43">STDEV(D40:D55)</f>
        <v>#DIV/0!</v>
      </c>
      <c r="E56" s="129" t="e">
        <f t="shared" si="43"/>
        <v>#DIV/0!</v>
      </c>
      <c r="F56" s="129" t="e">
        <f t="shared" si="43"/>
        <v>#DIV/0!</v>
      </c>
      <c r="G56" s="129" t="e">
        <f t="shared" si="43"/>
        <v>#DIV/0!</v>
      </c>
      <c r="H56" s="129" t="e">
        <f t="shared" si="43"/>
        <v>#DIV/0!</v>
      </c>
      <c r="I56" s="129" t="e">
        <f t="shared" si="43"/>
        <v>#DIV/0!</v>
      </c>
      <c r="J56" s="129" t="e">
        <f t="shared" si="43"/>
        <v>#DIV/0!</v>
      </c>
      <c r="K56" s="129" t="e">
        <f t="shared" si="43"/>
        <v>#DIV/0!</v>
      </c>
      <c r="L56" s="129" t="e">
        <f t="shared" si="43"/>
        <v>#DIV/0!</v>
      </c>
      <c r="M56" s="129" t="e">
        <f t="shared" si="43"/>
        <v>#DIV/0!</v>
      </c>
      <c r="N56" s="129" t="e">
        <f t="shared" si="43"/>
        <v>#DIV/0!</v>
      </c>
      <c r="O56" s="129" t="e">
        <f t="shared" si="43"/>
        <v>#DIV/0!</v>
      </c>
      <c r="P56" s="129" t="e">
        <f t="shared" si="43"/>
        <v>#DIV/0!</v>
      </c>
      <c r="Q56" s="129" t="e">
        <f t="shared" si="43"/>
        <v>#DIV/0!</v>
      </c>
      <c r="R56" s="138"/>
      <c r="S56" s="138"/>
      <c r="T56" s="161" t="s">
        <v>48</v>
      </c>
      <c r="U56" s="161"/>
      <c r="V56" s="129" t="e">
        <f t="shared" ref="V56:AI56" si="44">STDEV(V40:V55)</f>
        <v>#DIV/0!</v>
      </c>
      <c r="W56" s="129" t="e">
        <f t="shared" si="44"/>
        <v>#DIV/0!</v>
      </c>
      <c r="X56" s="129" t="e">
        <f t="shared" si="44"/>
        <v>#DIV/0!</v>
      </c>
      <c r="Y56" s="129" t="e">
        <f t="shared" si="44"/>
        <v>#DIV/0!</v>
      </c>
      <c r="Z56" s="129" t="e">
        <f t="shared" si="44"/>
        <v>#DIV/0!</v>
      </c>
      <c r="AA56" s="129" t="e">
        <f t="shared" si="44"/>
        <v>#DIV/0!</v>
      </c>
      <c r="AB56" s="129" t="e">
        <f t="shared" si="44"/>
        <v>#DIV/0!</v>
      </c>
      <c r="AC56" s="129" t="e">
        <f t="shared" si="44"/>
        <v>#DIV/0!</v>
      </c>
      <c r="AD56" s="129" t="e">
        <f t="shared" si="44"/>
        <v>#DIV/0!</v>
      </c>
      <c r="AE56" s="129" t="e">
        <f t="shared" si="44"/>
        <v>#DIV/0!</v>
      </c>
      <c r="AF56" s="129" t="e">
        <f t="shared" si="44"/>
        <v>#DIV/0!</v>
      </c>
      <c r="AG56" s="129" t="e">
        <f t="shared" si="44"/>
        <v>#DIV/0!</v>
      </c>
      <c r="AH56" s="129" t="e">
        <f t="shared" si="44"/>
        <v>#DIV/0!</v>
      </c>
      <c r="AI56" s="129" t="e">
        <f t="shared" si="44"/>
        <v>#DIV/0!</v>
      </c>
      <c r="AJ56" s="138"/>
    </row>
    <row r="57" spans="2:36" x14ac:dyDescent="0.25">
      <c r="B57" s="138"/>
      <c r="C57" s="138"/>
      <c r="R57" s="138"/>
      <c r="S57" s="138"/>
      <c r="T57" s="138"/>
      <c r="U57" s="138"/>
      <c r="AJ57" s="62"/>
    </row>
    <row r="79" spans="37:54" x14ac:dyDescent="0.25">
      <c r="AK79" s="62"/>
    </row>
    <row r="80" spans="37:54" x14ac:dyDescent="0.25">
      <c r="AL80" s="138"/>
      <c r="AM80" s="138"/>
      <c r="BB80" s="62"/>
    </row>
  </sheetData>
  <mergeCells count="20">
    <mergeCell ref="B2:R8"/>
    <mergeCell ref="T2:AJ2"/>
    <mergeCell ref="T3:T4"/>
    <mergeCell ref="T5:T8"/>
    <mergeCell ref="B10:R10"/>
    <mergeCell ref="T10:AJ10"/>
    <mergeCell ref="B12:B15"/>
    <mergeCell ref="T12:T15"/>
    <mergeCell ref="B16:B31"/>
    <mergeCell ref="T16:T31"/>
    <mergeCell ref="B34:Q34"/>
    <mergeCell ref="T34:AI34"/>
    <mergeCell ref="B32:C32"/>
    <mergeCell ref="T32:U32"/>
    <mergeCell ref="B36:B39"/>
    <mergeCell ref="T36:T39"/>
    <mergeCell ref="B40:B55"/>
    <mergeCell ref="T40:T55"/>
    <mergeCell ref="B56:C56"/>
    <mergeCell ref="T56:U5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EE675-B14D-40D3-A460-21489DB357CD}">
  <sheetPr codeName="工作表5"/>
  <dimension ref="B2:AE291"/>
  <sheetViews>
    <sheetView zoomScale="90" zoomScaleNormal="90" workbookViewId="0">
      <selection activeCell="B2" sqref="B2:I6"/>
    </sheetView>
  </sheetViews>
  <sheetFormatPr defaultColWidth="9" defaultRowHeight="16.5" x14ac:dyDescent="0.25"/>
  <cols>
    <col min="1" max="1" width="3.375" style="38" customWidth="1"/>
    <col min="2" max="3" width="10.875" style="38" customWidth="1"/>
    <col min="4" max="7" width="3.375" style="38" customWidth="1"/>
    <col min="8" max="10" width="10.875" style="38" customWidth="1"/>
    <col min="11" max="11" width="3.375" style="38" customWidth="1"/>
    <col min="12" max="15" width="10.875" style="38" customWidth="1"/>
    <col min="16" max="16" width="3.375" style="38" customWidth="1"/>
    <col min="17" max="28" width="10.875" style="38" customWidth="1"/>
    <col min="29" max="29" width="3.375" style="38" customWidth="1"/>
    <col min="30" max="47" width="9.125" style="38" customWidth="1"/>
    <col min="48" max="63" width="9" style="38"/>
    <col min="64" max="64" width="9" style="38" customWidth="1"/>
    <col min="65" max="16384" width="9" style="38"/>
  </cols>
  <sheetData>
    <row r="2" spans="2:31" ht="16.5" customHeight="1" x14ac:dyDescent="0.25">
      <c r="B2" s="183" t="s">
        <v>55</v>
      </c>
      <c r="C2" s="184"/>
      <c r="D2" s="184"/>
      <c r="E2" s="184"/>
      <c r="F2" s="184"/>
      <c r="G2" s="184"/>
      <c r="H2" s="184"/>
      <c r="I2" s="184"/>
      <c r="J2" s="161" t="s">
        <v>0</v>
      </c>
      <c r="L2" s="206" t="s">
        <v>19</v>
      </c>
      <c r="M2" s="184"/>
      <c r="N2" s="184"/>
      <c r="O2" s="174" t="s">
        <v>20</v>
      </c>
      <c r="P2" s="3"/>
      <c r="Q2" s="207" t="s">
        <v>15</v>
      </c>
      <c r="R2" s="184"/>
      <c r="S2" s="208" t="s">
        <v>59</v>
      </c>
      <c r="T2" s="209"/>
      <c r="U2" s="209"/>
      <c r="V2" s="209"/>
      <c r="W2" s="210"/>
      <c r="X2" s="194" t="str">
        <f>_xlfn.CONCAT(B77," ",B81," ",B85)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Y2" s="195"/>
      <c r="Z2" s="195"/>
      <c r="AA2" s="195"/>
      <c r="AB2" s="195"/>
      <c r="AC2" s="37"/>
      <c r="AE2" s="116"/>
    </row>
    <row r="3" spans="2:31" x14ac:dyDescent="0.25">
      <c r="B3" s="184"/>
      <c r="C3" s="184"/>
      <c r="D3" s="184"/>
      <c r="E3" s="184"/>
      <c r="F3" s="184"/>
      <c r="G3" s="184"/>
      <c r="H3" s="184"/>
      <c r="I3" s="184"/>
      <c r="J3" s="185"/>
      <c r="L3" s="184"/>
      <c r="M3" s="184"/>
      <c r="N3" s="184"/>
      <c r="O3" s="174"/>
      <c r="P3" s="3"/>
      <c r="Q3" s="161"/>
      <c r="R3" s="184"/>
      <c r="S3" s="211"/>
      <c r="T3" s="212"/>
      <c r="U3" s="212"/>
      <c r="V3" s="212"/>
      <c r="W3" s="213"/>
      <c r="X3" s="196"/>
      <c r="Y3" s="190"/>
      <c r="Z3" s="190"/>
      <c r="AA3" s="190"/>
      <c r="AB3" s="197"/>
      <c r="AC3" s="37"/>
    </row>
    <row r="4" spans="2:31" x14ac:dyDescent="0.25">
      <c r="B4" s="184"/>
      <c r="C4" s="184"/>
      <c r="D4" s="184"/>
      <c r="E4" s="184"/>
      <c r="F4" s="184"/>
      <c r="G4" s="184"/>
      <c r="H4" s="184"/>
      <c r="I4" s="184"/>
      <c r="J4" s="186">
        <v>1000</v>
      </c>
      <c r="L4" s="184"/>
      <c r="M4" s="184"/>
      <c r="N4" s="184"/>
      <c r="O4" s="174"/>
      <c r="P4" s="31"/>
      <c r="Q4" s="161"/>
      <c r="R4" s="184"/>
      <c r="S4" s="211"/>
      <c r="T4" s="212"/>
      <c r="U4" s="212"/>
      <c r="V4" s="212"/>
      <c r="W4" s="213"/>
      <c r="X4" s="196"/>
      <c r="Y4" s="190"/>
      <c r="Z4" s="190"/>
      <c r="AA4" s="190"/>
      <c r="AB4" s="197"/>
      <c r="AC4" s="37"/>
    </row>
    <row r="5" spans="2:31" x14ac:dyDescent="0.25">
      <c r="B5" s="184"/>
      <c r="C5" s="184"/>
      <c r="D5" s="184"/>
      <c r="E5" s="184"/>
      <c r="F5" s="184"/>
      <c r="G5" s="184"/>
      <c r="H5" s="184"/>
      <c r="I5" s="184"/>
      <c r="J5" s="186"/>
      <c r="L5" s="184"/>
      <c r="M5" s="184"/>
      <c r="N5" s="184"/>
      <c r="O5" s="174"/>
      <c r="P5" s="31"/>
      <c r="Q5" s="161"/>
      <c r="R5" s="184"/>
      <c r="S5" s="214"/>
      <c r="T5" s="215"/>
      <c r="U5" s="215"/>
      <c r="V5" s="215"/>
      <c r="W5" s="216"/>
      <c r="X5" s="198"/>
      <c r="Y5" s="199"/>
      <c r="Z5" s="199"/>
      <c r="AA5" s="199"/>
      <c r="AB5" s="199"/>
      <c r="AC5" s="37"/>
    </row>
    <row r="6" spans="2:31" x14ac:dyDescent="0.25">
      <c r="B6" s="184"/>
      <c r="C6" s="184"/>
      <c r="D6" s="184"/>
      <c r="E6" s="184"/>
      <c r="F6" s="184"/>
      <c r="G6" s="184"/>
      <c r="H6" s="184"/>
      <c r="I6" s="184"/>
      <c r="J6" s="186"/>
      <c r="L6" s="200" t="s">
        <v>21</v>
      </c>
      <c r="M6" s="201"/>
      <c r="N6" s="29">
        <f>AVERAGE(N12:N31)</f>
        <v>0</v>
      </c>
      <c r="O6" s="123">
        <f>AVERAGE(O12:O31)</f>
        <v>0</v>
      </c>
      <c r="P6" s="31"/>
    </row>
    <row r="7" spans="2:31" x14ac:dyDescent="0.25">
      <c r="B7" s="149"/>
      <c r="C7" s="149"/>
      <c r="D7" s="149"/>
      <c r="E7" s="149"/>
      <c r="F7" s="149"/>
      <c r="G7" s="149"/>
      <c r="H7" s="149"/>
      <c r="I7" s="139"/>
      <c r="J7" s="139"/>
      <c r="L7" s="202" t="s">
        <v>3</v>
      </c>
      <c r="M7" s="203"/>
      <c r="N7" s="29">
        <f>AVERAGE(N12:N15)</f>
        <v>0</v>
      </c>
      <c r="O7" s="124">
        <f>AVERAGE(O12:O15)</f>
        <v>0</v>
      </c>
      <c r="P7" s="31"/>
    </row>
    <row r="8" spans="2:31" x14ac:dyDescent="0.25">
      <c r="B8" s="187" t="s">
        <v>56</v>
      </c>
      <c r="C8" s="189" t="s">
        <v>57</v>
      </c>
      <c r="D8" s="190"/>
      <c r="E8" s="190"/>
      <c r="F8" s="190"/>
      <c r="G8" s="190"/>
      <c r="H8" s="190"/>
      <c r="I8" s="190"/>
      <c r="J8" s="190"/>
      <c r="K8" s="141"/>
      <c r="L8" s="202" t="s">
        <v>23</v>
      </c>
      <c r="M8" s="203"/>
      <c r="N8" s="29">
        <f>AVERAGE(N16:N31)</f>
        <v>0</v>
      </c>
      <c r="O8" s="124">
        <f>AVERAGE(O16:O31)</f>
        <v>0</v>
      </c>
      <c r="P8" s="32"/>
    </row>
    <row r="9" spans="2:31" x14ac:dyDescent="0.25">
      <c r="B9" s="188"/>
      <c r="C9" s="190"/>
      <c r="D9" s="190"/>
      <c r="E9" s="190"/>
      <c r="F9" s="190"/>
      <c r="G9" s="190"/>
      <c r="H9" s="190"/>
      <c r="I9" s="190"/>
      <c r="J9" s="190"/>
      <c r="K9" s="141"/>
      <c r="L9" s="204" t="s">
        <v>22</v>
      </c>
      <c r="M9" s="205"/>
      <c r="N9" s="30" t="e">
        <f>((H12-H31)/(H12+H31))/((C12-C31)/(C12+C31))</f>
        <v>#DIV/0!</v>
      </c>
      <c r="O9" s="125" t="e">
        <f>((J12-J31)/(J12+J31))/((C12-C31)/(C12+C31))</f>
        <v>#DIV/0!</v>
      </c>
      <c r="P9" s="32"/>
    </row>
    <row r="11" spans="2:31" x14ac:dyDescent="0.25">
      <c r="C11" s="3" t="s">
        <v>1</v>
      </c>
      <c r="D11" s="8" t="s">
        <v>16</v>
      </c>
      <c r="E11" s="8" t="s">
        <v>17</v>
      </c>
      <c r="F11" s="8" t="s">
        <v>18</v>
      </c>
      <c r="G11" s="8" t="s">
        <v>16</v>
      </c>
      <c r="H11" s="3" t="s">
        <v>2</v>
      </c>
      <c r="I11" s="3" t="s">
        <v>7</v>
      </c>
      <c r="J11" s="3" t="s">
        <v>5</v>
      </c>
      <c r="N11" s="38" t="s">
        <v>24</v>
      </c>
      <c r="O11" s="38" t="s">
        <v>24</v>
      </c>
    </row>
    <row r="12" spans="2:31" x14ac:dyDescent="0.25">
      <c r="B12" s="38">
        <v>1</v>
      </c>
      <c r="C12" s="3">
        <f>HLOOKUP($J$4,'1.AEcheck'!$D$11:$R$31,B13)</f>
        <v>0</v>
      </c>
      <c r="D12" s="85"/>
      <c r="E12" s="95"/>
      <c r="F12" s="95"/>
      <c r="G12" s="85"/>
      <c r="H12" s="39">
        <f>HLOOKUP($J$4,'1.AEcheck'!$V$11:$AJ$31,B13)</f>
        <v>0</v>
      </c>
      <c r="I12" s="7">
        <f t="shared" ref="I12:I31" si="0">((J34-I34)*H12)/(H34-C34)+I34-(C34*((J34-I34)/(H34-C34)))</f>
        <v>0</v>
      </c>
      <c r="J12" s="7">
        <f t="shared" ref="J12:J31" si="1">IF(C56-H56=0,VLOOKUP(I12,$Q$35:$R$291,2),((J56-I56)*I12)/(H56-C56)+I56-(C56*((J56-I56)/(H56-C56))))</f>
        <v>0</v>
      </c>
      <c r="L12" s="38">
        <v>1</v>
      </c>
      <c r="M12" s="9"/>
      <c r="N12" s="33">
        <f t="shared" ref="N12:N31" si="2">ABS(H12-C12)</f>
        <v>0</v>
      </c>
      <c r="O12" s="33">
        <f t="shared" ref="O12:O31" si="3">ABS(J12-C12)</f>
        <v>0</v>
      </c>
    </row>
    <row r="13" spans="2:31" x14ac:dyDescent="0.25">
      <c r="B13" s="38">
        <v>2</v>
      </c>
      <c r="C13" s="3">
        <f>HLOOKUP($J$4,'1.AEcheck'!$D$11:$R$31,B14)</f>
        <v>0</v>
      </c>
      <c r="D13" s="72"/>
      <c r="E13" s="96"/>
      <c r="F13" s="96"/>
      <c r="G13" s="72"/>
      <c r="H13" s="153">
        <f>HLOOKUP($J$4,'1.AEcheck'!$V$11:$AJ$31,B14)</f>
        <v>0</v>
      </c>
      <c r="I13" s="7">
        <f t="shared" si="0"/>
        <v>0</v>
      </c>
      <c r="J13" s="7">
        <f t="shared" si="1"/>
        <v>0</v>
      </c>
      <c r="L13" s="38">
        <v>2</v>
      </c>
      <c r="M13" s="10"/>
      <c r="N13" s="33">
        <f t="shared" si="2"/>
        <v>0</v>
      </c>
      <c r="O13" s="33">
        <f t="shared" si="3"/>
        <v>0</v>
      </c>
    </row>
    <row r="14" spans="2:31" x14ac:dyDescent="0.25">
      <c r="B14" s="38">
        <v>3</v>
      </c>
      <c r="C14" s="3">
        <f>HLOOKUP($J$4,'1.AEcheck'!$D$11:$R$31,B15)</f>
        <v>0</v>
      </c>
      <c r="D14" s="86"/>
      <c r="E14" s="97"/>
      <c r="F14" s="86"/>
      <c r="G14" s="86"/>
      <c r="H14" s="153">
        <f>HLOOKUP($J$4,'1.AEcheck'!$V$11:$AJ$31,B15)</f>
        <v>0</v>
      </c>
      <c r="I14" s="7">
        <f t="shared" si="0"/>
        <v>0</v>
      </c>
      <c r="J14" s="7">
        <f t="shared" si="1"/>
        <v>0</v>
      </c>
      <c r="L14" s="38">
        <v>3</v>
      </c>
      <c r="M14" s="11"/>
      <c r="N14" s="33">
        <f t="shared" si="2"/>
        <v>0</v>
      </c>
      <c r="O14" s="33">
        <f t="shared" si="3"/>
        <v>0</v>
      </c>
    </row>
    <row r="15" spans="2:31" x14ac:dyDescent="0.25">
      <c r="B15" s="38">
        <v>4</v>
      </c>
      <c r="C15" s="3">
        <f>HLOOKUP($J$4,'1.AEcheck'!$D$11:$R$31,B16)</f>
        <v>0</v>
      </c>
      <c r="D15" s="87"/>
      <c r="E15" s="98"/>
      <c r="F15" s="87"/>
      <c r="G15" s="87"/>
      <c r="H15" s="153">
        <f>HLOOKUP($J$4,'1.AEcheck'!$V$11:$AJ$31,B16)</f>
        <v>0</v>
      </c>
      <c r="I15" s="7">
        <f t="shared" si="0"/>
        <v>0</v>
      </c>
      <c r="J15" s="7">
        <f t="shared" si="1"/>
        <v>0</v>
      </c>
      <c r="L15" s="38">
        <v>4</v>
      </c>
      <c r="M15" s="12"/>
      <c r="N15" s="33">
        <f t="shared" si="2"/>
        <v>0</v>
      </c>
      <c r="O15" s="33">
        <f t="shared" si="3"/>
        <v>0</v>
      </c>
    </row>
    <row r="16" spans="2:31" x14ac:dyDescent="0.25">
      <c r="B16" s="38">
        <v>5</v>
      </c>
      <c r="C16" s="3">
        <f>HLOOKUP($J$4,'1.AEcheck'!$D$11:$R$31,B17)</f>
        <v>0</v>
      </c>
      <c r="D16" s="88"/>
      <c r="E16" s="99"/>
      <c r="F16" s="88"/>
      <c r="G16" s="88"/>
      <c r="H16" s="153">
        <f>HLOOKUP($J$4,'1.AEcheck'!$V$11:$AJ$31,B17)</f>
        <v>0</v>
      </c>
      <c r="I16" s="7">
        <f t="shared" si="0"/>
        <v>0</v>
      </c>
      <c r="J16" s="7">
        <f t="shared" si="1"/>
        <v>0</v>
      </c>
      <c r="L16" s="38">
        <v>5</v>
      </c>
      <c r="M16" s="13"/>
      <c r="N16" s="33">
        <f t="shared" si="2"/>
        <v>0</v>
      </c>
      <c r="O16" s="33">
        <f t="shared" si="3"/>
        <v>0</v>
      </c>
    </row>
    <row r="17" spans="2:15" x14ac:dyDescent="0.25">
      <c r="B17" s="38">
        <v>6</v>
      </c>
      <c r="C17" s="3">
        <f>HLOOKUP($J$4,'1.AEcheck'!$D$11:$R$31,B18)</f>
        <v>0</v>
      </c>
      <c r="D17" s="89"/>
      <c r="E17" s="100"/>
      <c r="F17" s="89"/>
      <c r="G17" s="89"/>
      <c r="H17" s="153">
        <f>HLOOKUP($J$4,'1.AEcheck'!$V$11:$AJ$31,B18)</f>
        <v>0</v>
      </c>
      <c r="I17" s="7">
        <f t="shared" si="0"/>
        <v>0</v>
      </c>
      <c r="J17" s="7">
        <f t="shared" si="1"/>
        <v>0</v>
      </c>
      <c r="L17" s="38">
        <v>6</v>
      </c>
      <c r="M17" s="14"/>
      <c r="N17" s="33">
        <f t="shared" si="2"/>
        <v>0</v>
      </c>
      <c r="O17" s="33">
        <f t="shared" si="3"/>
        <v>0</v>
      </c>
    </row>
    <row r="18" spans="2:15" x14ac:dyDescent="0.25">
      <c r="B18" s="38">
        <v>7</v>
      </c>
      <c r="C18" s="3">
        <f>HLOOKUP($J$4,'1.AEcheck'!$D$11:$R$31,B19)</f>
        <v>0</v>
      </c>
      <c r="D18" s="74"/>
      <c r="E18" s="101"/>
      <c r="F18" s="74"/>
      <c r="G18" s="74"/>
      <c r="H18" s="153">
        <f>HLOOKUP($J$4,'1.AEcheck'!$V$11:$AJ$31,B19)</f>
        <v>0</v>
      </c>
      <c r="I18" s="7">
        <f t="shared" si="0"/>
        <v>0</v>
      </c>
      <c r="J18" s="7">
        <f t="shared" si="1"/>
        <v>0</v>
      </c>
      <c r="L18" s="38">
        <v>7</v>
      </c>
      <c r="M18" s="15"/>
      <c r="N18" s="33">
        <f t="shared" si="2"/>
        <v>0</v>
      </c>
      <c r="O18" s="33">
        <f t="shared" si="3"/>
        <v>0</v>
      </c>
    </row>
    <row r="19" spans="2:15" x14ac:dyDescent="0.25">
      <c r="B19" s="38">
        <v>8</v>
      </c>
      <c r="C19" s="3">
        <f>HLOOKUP($J$4,'1.AEcheck'!$D$11:$R$31,B20)</f>
        <v>0</v>
      </c>
      <c r="D19" s="90"/>
      <c r="E19" s="102"/>
      <c r="F19" s="105"/>
      <c r="G19" s="90"/>
      <c r="H19" s="153">
        <f>HLOOKUP($J$4,'1.AEcheck'!$V$11:$AJ$31,B20)</f>
        <v>0</v>
      </c>
      <c r="I19" s="7">
        <f t="shared" si="0"/>
        <v>0</v>
      </c>
      <c r="J19" s="7">
        <f t="shared" si="1"/>
        <v>0</v>
      </c>
      <c r="L19" s="38">
        <v>8</v>
      </c>
      <c r="M19" s="16"/>
      <c r="N19" s="33">
        <f t="shared" si="2"/>
        <v>0</v>
      </c>
      <c r="O19" s="33">
        <f t="shared" si="3"/>
        <v>0</v>
      </c>
    </row>
    <row r="20" spans="2:15" x14ac:dyDescent="0.25">
      <c r="B20" s="38">
        <v>9</v>
      </c>
      <c r="C20" s="3">
        <f>HLOOKUP($J$4,'1.AEcheck'!$D$11:$R$31,B21)</f>
        <v>0</v>
      </c>
      <c r="D20" s="91"/>
      <c r="E20" s="73"/>
      <c r="F20" s="91"/>
      <c r="G20" s="91"/>
      <c r="H20" s="153">
        <f>HLOOKUP($J$4,'1.AEcheck'!$V$11:$AJ$31,B21)</f>
        <v>0</v>
      </c>
      <c r="I20" s="7">
        <f t="shared" si="0"/>
        <v>0</v>
      </c>
      <c r="J20" s="7">
        <f t="shared" si="1"/>
        <v>0</v>
      </c>
      <c r="L20" s="38">
        <v>9</v>
      </c>
      <c r="M20" s="17"/>
      <c r="N20" s="33">
        <f t="shared" si="2"/>
        <v>0</v>
      </c>
      <c r="O20" s="33">
        <f t="shared" si="3"/>
        <v>0</v>
      </c>
    </row>
    <row r="21" spans="2:15" x14ac:dyDescent="0.25">
      <c r="B21" s="38">
        <v>10</v>
      </c>
      <c r="C21" s="3">
        <f>HLOOKUP($J$4,'1.AEcheck'!$D$11:$R$31,B22)</f>
        <v>0</v>
      </c>
      <c r="D21" s="78"/>
      <c r="E21" s="91"/>
      <c r="F21" s="78"/>
      <c r="G21" s="78"/>
      <c r="H21" s="153">
        <f>HLOOKUP($J$4,'1.AEcheck'!$V$11:$AJ$31,B22)</f>
        <v>0</v>
      </c>
      <c r="I21" s="7">
        <f t="shared" si="0"/>
        <v>0</v>
      </c>
      <c r="J21" s="7">
        <f t="shared" si="1"/>
        <v>0</v>
      </c>
      <c r="L21" s="38">
        <v>10</v>
      </c>
      <c r="M21" s="18"/>
      <c r="N21" s="33">
        <f t="shared" si="2"/>
        <v>0</v>
      </c>
      <c r="O21" s="33">
        <f t="shared" si="3"/>
        <v>0</v>
      </c>
    </row>
    <row r="22" spans="2:15" x14ac:dyDescent="0.25">
      <c r="B22" s="38">
        <v>11</v>
      </c>
      <c r="C22" s="3">
        <f>HLOOKUP($J$4,'1.AEcheck'!$D$11:$R$31,B23)</f>
        <v>0</v>
      </c>
      <c r="D22" s="82"/>
      <c r="E22" s="78"/>
      <c r="F22" s="82"/>
      <c r="G22" s="82"/>
      <c r="H22" s="153">
        <f>HLOOKUP($J$4,'1.AEcheck'!$V$11:$AJ$31,B23)</f>
        <v>0</v>
      </c>
      <c r="I22" s="7">
        <f t="shared" si="0"/>
        <v>0</v>
      </c>
      <c r="J22" s="7">
        <f t="shared" si="1"/>
        <v>0</v>
      </c>
      <c r="L22" s="38">
        <v>11</v>
      </c>
      <c r="M22" s="19"/>
      <c r="N22" s="33">
        <f t="shared" si="2"/>
        <v>0</v>
      </c>
      <c r="O22" s="33">
        <f t="shared" si="3"/>
        <v>0</v>
      </c>
    </row>
    <row r="23" spans="2:15" x14ac:dyDescent="0.25">
      <c r="B23" s="38">
        <v>12</v>
      </c>
      <c r="C23" s="3">
        <f>HLOOKUP($J$4,'1.AEcheck'!$D$11:$R$31,B24)</f>
        <v>0</v>
      </c>
      <c r="D23" s="84"/>
      <c r="E23" s="80"/>
      <c r="F23" s="84"/>
      <c r="G23" s="84"/>
      <c r="H23" s="153">
        <f>HLOOKUP($J$4,'1.AEcheck'!$V$11:$AJ$31,B24)</f>
        <v>0</v>
      </c>
      <c r="I23" s="7">
        <f t="shared" si="0"/>
        <v>0</v>
      </c>
      <c r="J23" s="7">
        <f t="shared" si="1"/>
        <v>0</v>
      </c>
      <c r="L23" s="38">
        <v>12</v>
      </c>
      <c r="M23" s="20"/>
      <c r="N23" s="33">
        <f t="shared" si="2"/>
        <v>0</v>
      </c>
      <c r="O23" s="33">
        <f t="shared" si="3"/>
        <v>0</v>
      </c>
    </row>
    <row r="24" spans="2:15" x14ac:dyDescent="0.25">
      <c r="B24" s="38">
        <v>13</v>
      </c>
      <c r="C24" s="3">
        <f>HLOOKUP($J$4,'1.AEcheck'!$D$11:$R$31,B25)</f>
        <v>0</v>
      </c>
      <c r="D24" s="92"/>
      <c r="E24" s="75"/>
      <c r="F24" s="92"/>
      <c r="G24" s="92"/>
      <c r="H24" s="153">
        <f>HLOOKUP($J$4,'1.AEcheck'!$V$11:$AJ$31,B25)</f>
        <v>0</v>
      </c>
      <c r="I24" s="7">
        <f t="shared" si="0"/>
        <v>0</v>
      </c>
      <c r="J24" s="7">
        <f t="shared" si="1"/>
        <v>0</v>
      </c>
      <c r="L24" s="38">
        <v>13</v>
      </c>
      <c r="M24" s="21"/>
      <c r="N24" s="33">
        <f t="shared" si="2"/>
        <v>0</v>
      </c>
      <c r="O24" s="33">
        <f t="shared" si="3"/>
        <v>0</v>
      </c>
    </row>
    <row r="25" spans="2:15" x14ac:dyDescent="0.25">
      <c r="B25" s="38">
        <v>14</v>
      </c>
      <c r="C25" s="3">
        <f>HLOOKUP($J$4,'1.AEcheck'!$D$11:$R$31,B26)</f>
        <v>0</v>
      </c>
      <c r="D25" s="77"/>
      <c r="E25" s="84"/>
      <c r="F25" s="77"/>
      <c r="G25" s="77"/>
      <c r="H25" s="153">
        <f>HLOOKUP($J$4,'1.AEcheck'!$V$11:$AJ$31,B26)</f>
        <v>0</v>
      </c>
      <c r="I25" s="7">
        <f t="shared" si="0"/>
        <v>0</v>
      </c>
      <c r="J25" s="7">
        <f t="shared" si="1"/>
        <v>0</v>
      </c>
      <c r="L25" s="38">
        <v>14</v>
      </c>
      <c r="M25" s="22"/>
      <c r="N25" s="33">
        <f t="shared" si="2"/>
        <v>0</v>
      </c>
      <c r="O25" s="33">
        <f t="shared" si="3"/>
        <v>0</v>
      </c>
    </row>
    <row r="26" spans="2:15" x14ac:dyDescent="0.25">
      <c r="B26" s="38">
        <v>15</v>
      </c>
      <c r="C26" s="3">
        <f>HLOOKUP($J$4,'1.AEcheck'!$D$11:$R$31,B27)</f>
        <v>0</v>
      </c>
      <c r="D26" s="93"/>
      <c r="E26" s="76"/>
      <c r="F26" s="93"/>
      <c r="G26" s="93"/>
      <c r="H26" s="153">
        <f>HLOOKUP($J$4,'1.AEcheck'!$V$11:$AJ$31,B27)</f>
        <v>0</v>
      </c>
      <c r="I26" s="7">
        <f t="shared" si="0"/>
        <v>0</v>
      </c>
      <c r="J26" s="7">
        <f t="shared" si="1"/>
        <v>0</v>
      </c>
      <c r="L26" s="38">
        <v>15</v>
      </c>
      <c r="M26" s="23"/>
      <c r="N26" s="33">
        <f t="shared" si="2"/>
        <v>0</v>
      </c>
      <c r="O26" s="33">
        <f t="shared" si="3"/>
        <v>0</v>
      </c>
    </row>
    <row r="27" spans="2:15" x14ac:dyDescent="0.25">
      <c r="B27" s="38">
        <v>16</v>
      </c>
      <c r="C27" s="3">
        <f>HLOOKUP($J$4,'1.AEcheck'!$D$11:$R$31,B28)</f>
        <v>0</v>
      </c>
      <c r="D27" s="79"/>
      <c r="E27" s="92"/>
      <c r="F27" s="79"/>
      <c r="G27" s="79"/>
      <c r="H27" s="153">
        <f>HLOOKUP($J$4,'1.AEcheck'!$V$11:$AJ$31,B28)</f>
        <v>0</v>
      </c>
      <c r="I27" s="7">
        <f t="shared" si="0"/>
        <v>0</v>
      </c>
      <c r="J27" s="7">
        <f t="shared" si="1"/>
        <v>0</v>
      </c>
      <c r="L27" s="38">
        <v>16</v>
      </c>
      <c r="M27" s="24"/>
      <c r="N27" s="33">
        <f t="shared" si="2"/>
        <v>0</v>
      </c>
      <c r="O27" s="33">
        <f t="shared" si="3"/>
        <v>0</v>
      </c>
    </row>
    <row r="28" spans="2:15" x14ac:dyDescent="0.25">
      <c r="B28" s="38">
        <v>17</v>
      </c>
      <c r="C28" s="3">
        <f>HLOOKUP($J$4,'1.AEcheck'!$D$11:$R$31,B29)</f>
        <v>0</v>
      </c>
      <c r="D28" s="81"/>
      <c r="E28" s="103"/>
      <c r="F28" s="81"/>
      <c r="G28" s="81"/>
      <c r="H28" s="153">
        <f>HLOOKUP($J$4,'1.AEcheck'!$V$11:$AJ$31,B29)</f>
        <v>0</v>
      </c>
      <c r="I28" s="7">
        <f t="shared" si="0"/>
        <v>0</v>
      </c>
      <c r="J28" s="7">
        <f t="shared" si="1"/>
        <v>0</v>
      </c>
      <c r="L28" s="38">
        <v>17</v>
      </c>
      <c r="M28" s="25"/>
      <c r="N28" s="33">
        <f t="shared" si="2"/>
        <v>0</v>
      </c>
      <c r="O28" s="33">
        <f t="shared" si="3"/>
        <v>0</v>
      </c>
    </row>
    <row r="29" spans="2:15" x14ac:dyDescent="0.25">
      <c r="B29" s="38">
        <v>18</v>
      </c>
      <c r="C29" s="3">
        <f>HLOOKUP($J$4,'1.AEcheck'!$D$11:$R$31,B30)</f>
        <v>0</v>
      </c>
      <c r="D29" s="83"/>
      <c r="E29" s="77"/>
      <c r="F29" s="83"/>
      <c r="G29" s="83"/>
      <c r="H29" s="153">
        <f>HLOOKUP($J$4,'1.AEcheck'!$V$11:$AJ$31,B30)</f>
        <v>0</v>
      </c>
      <c r="I29" s="7">
        <f t="shared" si="0"/>
        <v>0</v>
      </c>
      <c r="J29" s="7">
        <f t="shared" si="1"/>
        <v>0</v>
      </c>
      <c r="L29" s="38">
        <v>18</v>
      </c>
      <c r="M29" s="26"/>
      <c r="N29" s="33">
        <f t="shared" si="2"/>
        <v>0</v>
      </c>
      <c r="O29" s="33">
        <f t="shared" si="3"/>
        <v>0</v>
      </c>
    </row>
    <row r="30" spans="2:15" x14ac:dyDescent="0.25">
      <c r="B30" s="38">
        <v>19</v>
      </c>
      <c r="C30" s="3">
        <f>HLOOKUP($J$4,'1.AEcheck'!$D$11:$R$31,B31)</f>
        <v>0</v>
      </c>
      <c r="D30" s="83"/>
      <c r="E30" s="77"/>
      <c r="F30" s="83"/>
      <c r="G30" s="83"/>
      <c r="H30" s="153">
        <f>HLOOKUP($J$4,'1.AEcheck'!$V$11:$AJ$31,B31)</f>
        <v>0</v>
      </c>
      <c r="I30" s="7">
        <f t="shared" si="0"/>
        <v>0</v>
      </c>
      <c r="J30" s="7">
        <f>IF(C74-H74=0,VLOOKUP(I30,$Q$35:$R$291,2),((J74-I74)*I30)/(H74-C74)+I74-(C74*((J74-I74)/(H74-C74))))</f>
        <v>0</v>
      </c>
      <c r="L30" s="38">
        <v>19</v>
      </c>
      <c r="M30" s="27"/>
      <c r="N30" s="33">
        <f t="shared" si="2"/>
        <v>0</v>
      </c>
      <c r="O30" s="33">
        <f t="shared" si="3"/>
        <v>0</v>
      </c>
    </row>
    <row r="31" spans="2:15" x14ac:dyDescent="0.25">
      <c r="B31" s="38">
        <v>20</v>
      </c>
      <c r="C31" s="3">
        <f>HLOOKUP($J$4,'1.AEcheck'!$D$11:$R$31,21)</f>
        <v>0</v>
      </c>
      <c r="D31" s="94"/>
      <c r="E31" s="104"/>
      <c r="F31" s="83"/>
      <c r="G31" s="94"/>
      <c r="H31" s="153">
        <f>HLOOKUP($J$4,'1.AEcheck'!$V$11:$AJ$31,21)</f>
        <v>0</v>
      </c>
      <c r="I31" s="7">
        <f t="shared" si="0"/>
        <v>0</v>
      </c>
      <c r="J31" s="7">
        <f t="shared" si="1"/>
        <v>0</v>
      </c>
      <c r="L31" s="38">
        <v>20</v>
      </c>
      <c r="M31" s="28"/>
      <c r="N31" s="33">
        <f t="shared" si="2"/>
        <v>0</v>
      </c>
      <c r="O31" s="33">
        <f t="shared" si="3"/>
        <v>0</v>
      </c>
    </row>
    <row r="32" spans="2:15" x14ac:dyDescent="0.25">
      <c r="E32" s="4"/>
    </row>
    <row r="33" spans="2:22" x14ac:dyDescent="0.25">
      <c r="C33" s="3" t="s">
        <v>8</v>
      </c>
      <c r="D33" s="3"/>
      <c r="E33" s="3"/>
      <c r="F33" s="3"/>
      <c r="G33" s="3"/>
      <c r="H33" s="3" t="s">
        <v>9</v>
      </c>
      <c r="I33" s="3" t="s">
        <v>10</v>
      </c>
      <c r="J33" s="3" t="s">
        <v>11</v>
      </c>
      <c r="L33" s="191" t="s">
        <v>6</v>
      </c>
      <c r="M33" s="191"/>
      <c r="N33" s="192"/>
      <c r="O33" s="193"/>
      <c r="Q33" s="191" t="s">
        <v>12</v>
      </c>
      <c r="R33" s="193"/>
      <c r="S33" s="193"/>
      <c r="T33" s="193"/>
    </row>
    <row r="34" spans="2:22" x14ac:dyDescent="0.25">
      <c r="B34" s="38">
        <v>1</v>
      </c>
      <c r="C34" s="38">
        <f t="shared" ref="C34:C53" si="4">VLOOKUP(I34,$M$35:$N$291,2,TRUE)</f>
        <v>0</v>
      </c>
      <c r="H34" s="38">
        <f t="shared" ref="H34:H53" si="5">VLOOKUP(J34,$M$35:$N$291,2,TRUE)</f>
        <v>4.5</v>
      </c>
      <c r="I34" s="38">
        <f t="shared" ref="I34:I53" si="6">VLOOKUP(ROUNDUP(H12,1),$L$35:$M$291,2,TRUE)</f>
        <v>0</v>
      </c>
      <c r="J34" s="38">
        <f t="shared" ref="J34:J53" si="7">VLOOKUP(ROUNDUP(H12,1),$L$35:$M$291,2,TRUE)+1</f>
        <v>1</v>
      </c>
      <c r="L34" s="2" t="s">
        <v>14</v>
      </c>
      <c r="M34" s="39" t="s">
        <v>13</v>
      </c>
      <c r="N34" s="39" t="s">
        <v>14</v>
      </c>
      <c r="O34" s="38" t="s">
        <v>25</v>
      </c>
      <c r="Q34" s="3" t="s">
        <v>13</v>
      </c>
      <c r="R34" s="39" t="s">
        <v>14</v>
      </c>
      <c r="S34" s="2" t="s">
        <v>13</v>
      </c>
      <c r="T34" s="38" t="s">
        <v>25</v>
      </c>
      <c r="V34"/>
    </row>
    <row r="35" spans="2:22" x14ac:dyDescent="0.25">
      <c r="B35" s="38">
        <v>2</v>
      </c>
      <c r="C35" s="38">
        <f t="shared" si="4"/>
        <v>0</v>
      </c>
      <c r="H35" s="38">
        <f t="shared" si="5"/>
        <v>4.5</v>
      </c>
      <c r="I35" s="38">
        <f t="shared" si="6"/>
        <v>0</v>
      </c>
      <c r="J35" s="38">
        <f t="shared" si="7"/>
        <v>1</v>
      </c>
      <c r="L35" s="5">
        <f>N35</f>
        <v>0</v>
      </c>
      <c r="M35" s="39">
        <v>0</v>
      </c>
      <c r="N35" s="39">
        <f>VALUE(MID(S2,1,SEARCH(" ",S2,1)-1))/4</f>
        <v>0</v>
      </c>
      <c r="O35" s="38">
        <v>0</v>
      </c>
      <c r="Q35" s="3">
        <v>0</v>
      </c>
      <c r="R35" s="39">
        <v>0</v>
      </c>
      <c r="S35" s="2">
        <f>Q35</f>
        <v>0</v>
      </c>
      <c r="T35" s="38">
        <v>0</v>
      </c>
      <c r="U35" s="160">
        <f>R35*4</f>
        <v>0</v>
      </c>
      <c r="V35"/>
    </row>
    <row r="36" spans="2:22" x14ac:dyDescent="0.25">
      <c r="B36" s="38">
        <v>3</v>
      </c>
      <c r="C36" s="38">
        <f t="shared" si="4"/>
        <v>0</v>
      </c>
      <c r="H36" s="38">
        <f t="shared" si="5"/>
        <v>4.5</v>
      </c>
      <c r="I36" s="38">
        <f t="shared" si="6"/>
        <v>0</v>
      </c>
      <c r="J36" s="38">
        <f t="shared" si="7"/>
        <v>1</v>
      </c>
      <c r="L36" s="5">
        <f t="shared" ref="L36:L99" si="8">N36</f>
        <v>4.5</v>
      </c>
      <c r="M36" s="39">
        <v>1</v>
      </c>
      <c r="N36" s="39">
        <f>VALUE(MID($S$2,FIND("*",SUBSTITUTE($S$2," ","*",M36),1)+1,FIND("*",SUBSTITUTE($S$2," ","*",M37),1)-FIND("*",SUBSTITUTE($S$2," ","*",M36),1)-1))/4</f>
        <v>4.5</v>
      </c>
      <c r="O36" s="38">
        <f>N36-N35</f>
        <v>4.5</v>
      </c>
      <c r="Q36" s="3">
        <v>1</v>
      </c>
      <c r="R36" s="39">
        <v>4.5</v>
      </c>
      <c r="S36" s="2">
        <f t="shared" ref="S36:S99" si="9">Q36</f>
        <v>1</v>
      </c>
      <c r="T36" s="38">
        <v>4.5</v>
      </c>
      <c r="U36" s="160">
        <f t="shared" ref="U36:U99" si="10">R36*4</f>
        <v>18</v>
      </c>
      <c r="V36"/>
    </row>
    <row r="37" spans="2:22" x14ac:dyDescent="0.25">
      <c r="B37" s="38">
        <v>4</v>
      </c>
      <c r="C37" s="38">
        <f t="shared" si="4"/>
        <v>0</v>
      </c>
      <c r="H37" s="38">
        <f t="shared" si="5"/>
        <v>4.5</v>
      </c>
      <c r="I37" s="38">
        <f t="shared" si="6"/>
        <v>0</v>
      </c>
      <c r="J37" s="38">
        <f t="shared" si="7"/>
        <v>1</v>
      </c>
      <c r="L37" s="5">
        <f t="shared" si="8"/>
        <v>7.5</v>
      </c>
      <c r="M37" s="39">
        <v>2</v>
      </c>
      <c r="N37" s="159">
        <f t="shared" ref="N37:N100" si="11">VALUE(MID($S$2,FIND("*",SUBSTITUTE($S$2," ","*",M37),1)+1,FIND("*",SUBSTITUTE($S$2," ","*",M38),1)-FIND("*",SUBSTITUTE($S$2," ","*",M37),1)-1))/4</f>
        <v>7.5</v>
      </c>
      <c r="O37" s="38">
        <f t="shared" ref="O37:O100" si="12">N37-N36</f>
        <v>3</v>
      </c>
      <c r="Q37" s="3">
        <v>2</v>
      </c>
      <c r="R37" s="39">
        <v>7.5</v>
      </c>
      <c r="S37" s="2">
        <f t="shared" si="9"/>
        <v>2</v>
      </c>
      <c r="T37" s="38">
        <v>3</v>
      </c>
      <c r="U37" s="160">
        <f t="shared" si="10"/>
        <v>30</v>
      </c>
      <c r="V37"/>
    </row>
    <row r="38" spans="2:22" x14ac:dyDescent="0.25">
      <c r="B38" s="38">
        <v>5</v>
      </c>
      <c r="C38" s="38">
        <f t="shared" si="4"/>
        <v>0</v>
      </c>
      <c r="H38" s="38">
        <f t="shared" si="5"/>
        <v>4.5</v>
      </c>
      <c r="I38" s="38">
        <f t="shared" si="6"/>
        <v>0</v>
      </c>
      <c r="J38" s="38">
        <f t="shared" si="7"/>
        <v>1</v>
      </c>
      <c r="L38" s="5">
        <f t="shared" si="8"/>
        <v>10.5</v>
      </c>
      <c r="M38" s="39">
        <v>3</v>
      </c>
      <c r="N38" s="159">
        <f t="shared" si="11"/>
        <v>10.5</v>
      </c>
      <c r="O38" s="38">
        <f t="shared" si="12"/>
        <v>3</v>
      </c>
      <c r="Q38" s="3">
        <v>3</v>
      </c>
      <c r="R38" s="39">
        <v>10.5</v>
      </c>
      <c r="S38" s="2">
        <f t="shared" si="9"/>
        <v>3</v>
      </c>
      <c r="T38" s="38">
        <v>3</v>
      </c>
      <c r="U38" s="160">
        <f t="shared" si="10"/>
        <v>42</v>
      </c>
      <c r="V38"/>
    </row>
    <row r="39" spans="2:22" x14ac:dyDescent="0.25">
      <c r="B39" s="38">
        <v>6</v>
      </c>
      <c r="C39" s="38">
        <f t="shared" si="4"/>
        <v>0</v>
      </c>
      <c r="H39" s="38">
        <f t="shared" si="5"/>
        <v>4.5</v>
      </c>
      <c r="I39" s="38">
        <f t="shared" si="6"/>
        <v>0</v>
      </c>
      <c r="J39" s="38">
        <f t="shared" si="7"/>
        <v>1</v>
      </c>
      <c r="L39" s="5">
        <f t="shared" si="8"/>
        <v>13.5</v>
      </c>
      <c r="M39" s="39">
        <v>4</v>
      </c>
      <c r="N39" s="159">
        <f t="shared" si="11"/>
        <v>13.5</v>
      </c>
      <c r="O39" s="38">
        <f t="shared" si="12"/>
        <v>3</v>
      </c>
      <c r="Q39" s="3">
        <v>4</v>
      </c>
      <c r="R39" s="39">
        <v>13.5</v>
      </c>
      <c r="S39" s="2">
        <f t="shared" si="9"/>
        <v>4</v>
      </c>
      <c r="T39" s="38">
        <v>3</v>
      </c>
      <c r="U39" s="160">
        <f t="shared" si="10"/>
        <v>54</v>
      </c>
      <c r="V39"/>
    </row>
    <row r="40" spans="2:22" x14ac:dyDescent="0.25">
      <c r="B40" s="38">
        <v>7</v>
      </c>
      <c r="C40" s="38">
        <f t="shared" si="4"/>
        <v>0</v>
      </c>
      <c r="H40" s="38">
        <f t="shared" si="5"/>
        <v>4.5</v>
      </c>
      <c r="I40" s="38">
        <f t="shared" si="6"/>
        <v>0</v>
      </c>
      <c r="J40" s="38">
        <f t="shared" si="7"/>
        <v>1</v>
      </c>
      <c r="L40" s="5">
        <f t="shared" si="8"/>
        <v>16.5</v>
      </c>
      <c r="M40" s="39">
        <v>5</v>
      </c>
      <c r="N40" s="159">
        <f t="shared" si="11"/>
        <v>16.5</v>
      </c>
      <c r="O40" s="38">
        <f t="shared" si="12"/>
        <v>3</v>
      </c>
      <c r="Q40" s="3">
        <v>5</v>
      </c>
      <c r="R40" s="39">
        <v>16.5</v>
      </c>
      <c r="S40" s="2">
        <f t="shared" si="9"/>
        <v>5</v>
      </c>
      <c r="T40" s="38">
        <v>3</v>
      </c>
      <c r="U40" s="160">
        <f t="shared" si="10"/>
        <v>66</v>
      </c>
      <c r="V40"/>
    </row>
    <row r="41" spans="2:22" x14ac:dyDescent="0.25">
      <c r="B41" s="38">
        <v>8</v>
      </c>
      <c r="C41" s="38">
        <f t="shared" si="4"/>
        <v>0</v>
      </c>
      <c r="H41" s="38">
        <f t="shared" si="5"/>
        <v>4.5</v>
      </c>
      <c r="I41" s="38">
        <f t="shared" si="6"/>
        <v>0</v>
      </c>
      <c r="J41" s="38">
        <f t="shared" si="7"/>
        <v>1</v>
      </c>
      <c r="L41" s="5">
        <f t="shared" si="8"/>
        <v>19.5</v>
      </c>
      <c r="M41" s="39">
        <v>6</v>
      </c>
      <c r="N41" s="159">
        <f t="shared" si="11"/>
        <v>19.5</v>
      </c>
      <c r="O41" s="38">
        <f t="shared" si="12"/>
        <v>3</v>
      </c>
      <c r="Q41" s="3">
        <v>6</v>
      </c>
      <c r="R41" s="39">
        <v>19.5</v>
      </c>
      <c r="S41" s="2">
        <f t="shared" si="9"/>
        <v>6</v>
      </c>
      <c r="T41" s="38">
        <v>3</v>
      </c>
      <c r="U41" s="160">
        <f t="shared" si="10"/>
        <v>78</v>
      </c>
      <c r="V41"/>
    </row>
    <row r="42" spans="2:22" x14ac:dyDescent="0.25">
      <c r="B42" s="38">
        <v>9</v>
      </c>
      <c r="C42" s="38">
        <f t="shared" si="4"/>
        <v>0</v>
      </c>
      <c r="H42" s="38">
        <f t="shared" si="5"/>
        <v>4.5</v>
      </c>
      <c r="I42" s="38">
        <f t="shared" si="6"/>
        <v>0</v>
      </c>
      <c r="J42" s="38">
        <f t="shared" si="7"/>
        <v>1</v>
      </c>
      <c r="L42" s="5">
        <f t="shared" si="8"/>
        <v>23</v>
      </c>
      <c r="M42" s="39">
        <v>7</v>
      </c>
      <c r="N42" s="159">
        <f t="shared" si="11"/>
        <v>23</v>
      </c>
      <c r="O42" s="38">
        <f t="shared" si="12"/>
        <v>3.5</v>
      </c>
      <c r="Q42" s="3">
        <v>7</v>
      </c>
      <c r="R42" s="39">
        <v>23</v>
      </c>
      <c r="S42" s="2">
        <f t="shared" si="9"/>
        <v>7</v>
      </c>
      <c r="T42" s="38">
        <v>3.5</v>
      </c>
      <c r="U42" s="160">
        <f t="shared" si="10"/>
        <v>92</v>
      </c>
      <c r="V42"/>
    </row>
    <row r="43" spans="2:22" x14ac:dyDescent="0.25">
      <c r="B43" s="38">
        <v>10</v>
      </c>
      <c r="C43" s="38">
        <f t="shared" si="4"/>
        <v>0</v>
      </c>
      <c r="H43" s="38">
        <f t="shared" si="5"/>
        <v>4.5</v>
      </c>
      <c r="I43" s="38">
        <f t="shared" si="6"/>
        <v>0</v>
      </c>
      <c r="J43" s="38">
        <f t="shared" si="7"/>
        <v>1</v>
      </c>
      <c r="L43" s="5">
        <f t="shared" si="8"/>
        <v>26.5</v>
      </c>
      <c r="M43" s="39">
        <v>8</v>
      </c>
      <c r="N43" s="159">
        <f t="shared" si="11"/>
        <v>26.5</v>
      </c>
      <c r="O43" s="38">
        <f t="shared" si="12"/>
        <v>3.5</v>
      </c>
      <c r="Q43" s="3">
        <v>8</v>
      </c>
      <c r="R43" s="39">
        <v>26.5</v>
      </c>
      <c r="S43" s="2">
        <f t="shared" si="9"/>
        <v>8</v>
      </c>
      <c r="T43" s="38">
        <v>3.5</v>
      </c>
      <c r="U43" s="160">
        <f t="shared" si="10"/>
        <v>106</v>
      </c>
      <c r="V43"/>
    </row>
    <row r="44" spans="2:22" x14ac:dyDescent="0.25">
      <c r="B44" s="38">
        <v>11</v>
      </c>
      <c r="C44" s="38">
        <f t="shared" si="4"/>
        <v>0</v>
      </c>
      <c r="H44" s="38">
        <f t="shared" si="5"/>
        <v>4.5</v>
      </c>
      <c r="I44" s="38">
        <f t="shared" si="6"/>
        <v>0</v>
      </c>
      <c r="J44" s="38">
        <f t="shared" si="7"/>
        <v>1</v>
      </c>
      <c r="L44" s="5">
        <f t="shared" si="8"/>
        <v>29.5</v>
      </c>
      <c r="M44" s="39">
        <v>9</v>
      </c>
      <c r="N44" s="159">
        <f t="shared" si="11"/>
        <v>29.5</v>
      </c>
      <c r="O44" s="38">
        <f t="shared" si="12"/>
        <v>3</v>
      </c>
      <c r="Q44" s="3">
        <v>9</v>
      </c>
      <c r="R44" s="39">
        <v>29.5</v>
      </c>
      <c r="S44" s="2">
        <f t="shared" si="9"/>
        <v>9</v>
      </c>
      <c r="T44" s="38">
        <v>3</v>
      </c>
      <c r="U44" s="160">
        <f t="shared" si="10"/>
        <v>118</v>
      </c>
      <c r="V44"/>
    </row>
    <row r="45" spans="2:22" x14ac:dyDescent="0.25">
      <c r="B45" s="38">
        <v>12</v>
      </c>
      <c r="C45" s="38">
        <f t="shared" si="4"/>
        <v>0</v>
      </c>
      <c r="H45" s="38">
        <f t="shared" si="5"/>
        <v>4.5</v>
      </c>
      <c r="I45" s="38">
        <f t="shared" si="6"/>
        <v>0</v>
      </c>
      <c r="J45" s="38">
        <f t="shared" si="7"/>
        <v>1</v>
      </c>
      <c r="L45" s="5">
        <f t="shared" si="8"/>
        <v>33.25</v>
      </c>
      <c r="M45" s="39">
        <v>10</v>
      </c>
      <c r="N45" s="159">
        <f t="shared" si="11"/>
        <v>33.25</v>
      </c>
      <c r="O45" s="38">
        <f t="shared" si="12"/>
        <v>3.75</v>
      </c>
      <c r="Q45" s="3">
        <v>10</v>
      </c>
      <c r="R45" s="39">
        <v>33.25</v>
      </c>
      <c r="S45" s="2">
        <f t="shared" si="9"/>
        <v>10</v>
      </c>
      <c r="T45" s="38">
        <v>3.75</v>
      </c>
      <c r="U45" s="160">
        <f t="shared" si="10"/>
        <v>133</v>
      </c>
      <c r="V45"/>
    </row>
    <row r="46" spans="2:22" x14ac:dyDescent="0.25">
      <c r="B46" s="38">
        <v>13</v>
      </c>
      <c r="C46" s="38">
        <f t="shared" si="4"/>
        <v>0</v>
      </c>
      <c r="H46" s="38">
        <f t="shared" si="5"/>
        <v>4.5</v>
      </c>
      <c r="I46" s="38">
        <f t="shared" si="6"/>
        <v>0</v>
      </c>
      <c r="J46" s="38">
        <f t="shared" si="7"/>
        <v>1</v>
      </c>
      <c r="L46" s="5">
        <f t="shared" si="8"/>
        <v>36.75</v>
      </c>
      <c r="M46" s="39">
        <v>11</v>
      </c>
      <c r="N46" s="159">
        <f t="shared" si="11"/>
        <v>36.75</v>
      </c>
      <c r="O46" s="38">
        <f t="shared" si="12"/>
        <v>3.5</v>
      </c>
      <c r="Q46" s="3">
        <v>11</v>
      </c>
      <c r="R46" s="39">
        <v>36.75</v>
      </c>
      <c r="S46" s="2">
        <f t="shared" si="9"/>
        <v>11</v>
      </c>
      <c r="T46" s="38">
        <v>3.5</v>
      </c>
      <c r="U46" s="160">
        <f t="shared" si="10"/>
        <v>147</v>
      </c>
      <c r="V46"/>
    </row>
    <row r="47" spans="2:22" x14ac:dyDescent="0.25">
      <c r="B47" s="38">
        <v>14</v>
      </c>
      <c r="C47" s="38">
        <f t="shared" si="4"/>
        <v>0</v>
      </c>
      <c r="H47" s="38">
        <f t="shared" si="5"/>
        <v>4.5</v>
      </c>
      <c r="I47" s="38">
        <f t="shared" si="6"/>
        <v>0</v>
      </c>
      <c r="J47" s="38">
        <f t="shared" si="7"/>
        <v>1</v>
      </c>
      <c r="L47" s="5">
        <f t="shared" si="8"/>
        <v>39.75</v>
      </c>
      <c r="M47" s="39">
        <v>12</v>
      </c>
      <c r="N47" s="159">
        <f t="shared" si="11"/>
        <v>39.75</v>
      </c>
      <c r="O47" s="38">
        <f t="shared" si="12"/>
        <v>3</v>
      </c>
      <c r="Q47" s="3">
        <v>12</v>
      </c>
      <c r="R47" s="39">
        <v>39.75</v>
      </c>
      <c r="S47" s="2">
        <f t="shared" si="9"/>
        <v>12</v>
      </c>
      <c r="T47" s="38">
        <v>3</v>
      </c>
      <c r="U47" s="160">
        <f t="shared" si="10"/>
        <v>159</v>
      </c>
      <c r="V47"/>
    </row>
    <row r="48" spans="2:22" x14ac:dyDescent="0.25">
      <c r="B48" s="38">
        <v>15</v>
      </c>
      <c r="C48" s="38">
        <f t="shared" si="4"/>
        <v>0</v>
      </c>
      <c r="H48" s="38">
        <f t="shared" si="5"/>
        <v>4.5</v>
      </c>
      <c r="I48" s="38">
        <f t="shared" si="6"/>
        <v>0</v>
      </c>
      <c r="J48" s="38">
        <f t="shared" si="7"/>
        <v>1</v>
      </c>
      <c r="L48" s="5">
        <f t="shared" si="8"/>
        <v>42.75</v>
      </c>
      <c r="M48" s="39">
        <v>13</v>
      </c>
      <c r="N48" s="159">
        <f t="shared" si="11"/>
        <v>42.75</v>
      </c>
      <c r="O48" s="38">
        <f t="shared" si="12"/>
        <v>3</v>
      </c>
      <c r="Q48" s="3">
        <v>13</v>
      </c>
      <c r="R48" s="39">
        <v>42.75</v>
      </c>
      <c r="S48" s="2">
        <f t="shared" si="9"/>
        <v>13</v>
      </c>
      <c r="T48" s="38">
        <v>3</v>
      </c>
      <c r="U48" s="160">
        <f t="shared" si="10"/>
        <v>171</v>
      </c>
      <c r="V48"/>
    </row>
    <row r="49" spans="2:22" x14ac:dyDescent="0.25">
      <c r="B49" s="38">
        <v>16</v>
      </c>
      <c r="C49" s="38">
        <f t="shared" si="4"/>
        <v>0</v>
      </c>
      <c r="H49" s="38">
        <f t="shared" si="5"/>
        <v>4.5</v>
      </c>
      <c r="I49" s="38">
        <f t="shared" si="6"/>
        <v>0</v>
      </c>
      <c r="J49" s="38">
        <f t="shared" si="7"/>
        <v>1</v>
      </c>
      <c r="L49" s="5">
        <f t="shared" si="8"/>
        <v>45.75</v>
      </c>
      <c r="M49" s="39">
        <v>14</v>
      </c>
      <c r="N49" s="159">
        <f t="shared" si="11"/>
        <v>45.75</v>
      </c>
      <c r="O49" s="38">
        <f t="shared" si="12"/>
        <v>3</v>
      </c>
      <c r="Q49" s="3">
        <v>14</v>
      </c>
      <c r="R49" s="39">
        <v>45.75</v>
      </c>
      <c r="S49" s="2">
        <f t="shared" si="9"/>
        <v>14</v>
      </c>
      <c r="T49" s="38">
        <v>3</v>
      </c>
      <c r="U49" s="160">
        <f t="shared" si="10"/>
        <v>183</v>
      </c>
      <c r="V49"/>
    </row>
    <row r="50" spans="2:22" x14ac:dyDescent="0.25">
      <c r="B50" s="38">
        <v>17</v>
      </c>
      <c r="C50" s="38">
        <f t="shared" si="4"/>
        <v>0</v>
      </c>
      <c r="H50" s="38">
        <f t="shared" si="5"/>
        <v>4.5</v>
      </c>
      <c r="I50" s="38">
        <f t="shared" si="6"/>
        <v>0</v>
      </c>
      <c r="J50" s="38">
        <f t="shared" si="7"/>
        <v>1</v>
      </c>
      <c r="L50" s="5">
        <f t="shared" si="8"/>
        <v>48.75</v>
      </c>
      <c r="M50" s="39">
        <v>15</v>
      </c>
      <c r="N50" s="159">
        <f t="shared" si="11"/>
        <v>48.75</v>
      </c>
      <c r="O50" s="38">
        <f t="shared" si="12"/>
        <v>3</v>
      </c>
      <c r="Q50" s="3">
        <v>15</v>
      </c>
      <c r="R50" s="39">
        <v>48.75</v>
      </c>
      <c r="S50" s="2">
        <f t="shared" si="9"/>
        <v>15</v>
      </c>
      <c r="T50" s="38">
        <v>3</v>
      </c>
      <c r="U50" s="160">
        <f t="shared" si="10"/>
        <v>195</v>
      </c>
      <c r="V50"/>
    </row>
    <row r="51" spans="2:22" x14ac:dyDescent="0.25">
      <c r="B51" s="38">
        <v>18</v>
      </c>
      <c r="C51" s="38">
        <f t="shared" si="4"/>
        <v>0</v>
      </c>
      <c r="H51" s="38">
        <f t="shared" si="5"/>
        <v>4.5</v>
      </c>
      <c r="I51" s="38">
        <f t="shared" si="6"/>
        <v>0</v>
      </c>
      <c r="J51" s="38">
        <f t="shared" si="7"/>
        <v>1</v>
      </c>
      <c r="L51" s="5">
        <f t="shared" si="8"/>
        <v>51.75</v>
      </c>
      <c r="M51" s="39">
        <v>16</v>
      </c>
      <c r="N51" s="159">
        <f t="shared" si="11"/>
        <v>51.75</v>
      </c>
      <c r="O51" s="38">
        <f t="shared" si="12"/>
        <v>3</v>
      </c>
      <c r="Q51" s="3">
        <v>16</v>
      </c>
      <c r="R51" s="39">
        <v>51.75</v>
      </c>
      <c r="S51" s="2">
        <f t="shared" si="9"/>
        <v>16</v>
      </c>
      <c r="T51" s="38">
        <v>3</v>
      </c>
      <c r="U51" s="160">
        <f t="shared" si="10"/>
        <v>207</v>
      </c>
      <c r="V51"/>
    </row>
    <row r="52" spans="2:22" x14ac:dyDescent="0.25">
      <c r="B52" s="38">
        <v>19</v>
      </c>
      <c r="C52" s="38">
        <f t="shared" si="4"/>
        <v>0</v>
      </c>
      <c r="H52" s="38">
        <f t="shared" si="5"/>
        <v>4.5</v>
      </c>
      <c r="I52" s="38">
        <f t="shared" si="6"/>
        <v>0</v>
      </c>
      <c r="J52" s="38">
        <f t="shared" si="7"/>
        <v>1</v>
      </c>
      <c r="L52" s="5">
        <f t="shared" si="8"/>
        <v>54.25</v>
      </c>
      <c r="M52" s="39">
        <v>17</v>
      </c>
      <c r="N52" s="159">
        <f t="shared" si="11"/>
        <v>54.25</v>
      </c>
      <c r="O52" s="38">
        <f t="shared" si="12"/>
        <v>2.5</v>
      </c>
      <c r="Q52" s="3">
        <v>17</v>
      </c>
      <c r="R52" s="39">
        <v>54.25</v>
      </c>
      <c r="S52" s="2">
        <f t="shared" si="9"/>
        <v>17</v>
      </c>
      <c r="T52" s="38">
        <v>2.5</v>
      </c>
      <c r="U52" s="160">
        <f t="shared" si="10"/>
        <v>217</v>
      </c>
      <c r="V52"/>
    </row>
    <row r="53" spans="2:22" x14ac:dyDescent="0.25">
      <c r="B53" s="38">
        <v>20</v>
      </c>
      <c r="C53" s="38">
        <f t="shared" si="4"/>
        <v>0</v>
      </c>
      <c r="H53" s="38">
        <f t="shared" si="5"/>
        <v>4.5</v>
      </c>
      <c r="I53" s="38">
        <f t="shared" si="6"/>
        <v>0</v>
      </c>
      <c r="J53" s="38">
        <f t="shared" si="7"/>
        <v>1</v>
      </c>
      <c r="L53" s="5">
        <f t="shared" si="8"/>
        <v>56.75</v>
      </c>
      <c r="M53" s="39">
        <v>18</v>
      </c>
      <c r="N53" s="159">
        <f t="shared" si="11"/>
        <v>56.75</v>
      </c>
      <c r="O53" s="38">
        <f t="shared" si="12"/>
        <v>2.5</v>
      </c>
      <c r="Q53" s="3">
        <v>18</v>
      </c>
      <c r="R53" s="39">
        <v>56.75</v>
      </c>
      <c r="S53" s="2">
        <f t="shared" si="9"/>
        <v>18</v>
      </c>
      <c r="T53" s="38">
        <v>2.5</v>
      </c>
      <c r="U53" s="160">
        <f t="shared" si="10"/>
        <v>227</v>
      </c>
      <c r="V53"/>
    </row>
    <row r="54" spans="2:22" x14ac:dyDescent="0.25">
      <c r="L54" s="5">
        <f t="shared" si="8"/>
        <v>59.75</v>
      </c>
      <c r="M54" s="39">
        <v>19</v>
      </c>
      <c r="N54" s="159">
        <f t="shared" si="11"/>
        <v>59.75</v>
      </c>
      <c r="O54" s="38">
        <f t="shared" si="12"/>
        <v>3</v>
      </c>
      <c r="Q54" s="3">
        <v>19</v>
      </c>
      <c r="R54" s="39">
        <v>59.75</v>
      </c>
      <c r="S54" s="2">
        <f t="shared" si="9"/>
        <v>19</v>
      </c>
      <c r="T54" s="38">
        <v>3</v>
      </c>
      <c r="U54" s="160">
        <f t="shared" si="10"/>
        <v>239</v>
      </c>
    </row>
    <row r="55" spans="2:22" x14ac:dyDescent="0.25">
      <c r="C55" s="4" t="s">
        <v>8</v>
      </c>
      <c r="D55" s="4"/>
      <c r="E55" s="4"/>
      <c r="F55" s="4"/>
      <c r="G55" s="4"/>
      <c r="H55" s="4" t="s">
        <v>9</v>
      </c>
      <c r="I55" s="4" t="s">
        <v>10</v>
      </c>
      <c r="J55" s="4" t="s">
        <v>11</v>
      </c>
      <c r="L55" s="5">
        <f t="shared" si="8"/>
        <v>62.25</v>
      </c>
      <c r="M55" s="39">
        <v>20</v>
      </c>
      <c r="N55" s="159">
        <f t="shared" si="11"/>
        <v>62.25</v>
      </c>
      <c r="O55" s="38">
        <f t="shared" si="12"/>
        <v>2.5</v>
      </c>
      <c r="Q55" s="3">
        <v>20</v>
      </c>
      <c r="R55" s="39">
        <v>62.25</v>
      </c>
      <c r="S55" s="2">
        <f t="shared" si="9"/>
        <v>20</v>
      </c>
      <c r="T55" s="38">
        <v>2.5</v>
      </c>
      <c r="U55" s="160">
        <f t="shared" si="10"/>
        <v>249</v>
      </c>
    </row>
    <row r="56" spans="2:22" x14ac:dyDescent="0.25">
      <c r="B56" s="38">
        <v>1</v>
      </c>
      <c r="C56" s="6">
        <f>ROUNDDOWN(I12,0)</f>
        <v>0</v>
      </c>
      <c r="D56" s="6"/>
      <c r="E56" s="6"/>
      <c r="F56" s="6"/>
      <c r="G56" s="6"/>
      <c r="H56" s="6">
        <f>ROUNDUP(I12,0)</f>
        <v>0</v>
      </c>
      <c r="I56" s="6">
        <f t="shared" ref="I56:I75" si="13">VLOOKUP(C56,$Q$35:$R$291,2,TRUE)</f>
        <v>0</v>
      </c>
      <c r="J56" s="6">
        <f t="shared" ref="J56:J75" si="14">VLOOKUP(H56,$Q$35:$R$291,2,TRUE)</f>
        <v>0</v>
      </c>
      <c r="K56" s="4"/>
      <c r="L56" s="5">
        <f t="shared" si="8"/>
        <v>64.75</v>
      </c>
      <c r="M56" s="39">
        <v>21</v>
      </c>
      <c r="N56" s="159">
        <f t="shared" si="11"/>
        <v>64.75</v>
      </c>
      <c r="O56" s="38">
        <f t="shared" si="12"/>
        <v>2.5</v>
      </c>
      <c r="Q56" s="3">
        <v>21</v>
      </c>
      <c r="R56" s="39">
        <v>64.75</v>
      </c>
      <c r="S56" s="2">
        <f t="shared" si="9"/>
        <v>21</v>
      </c>
      <c r="T56" s="38">
        <v>2.5</v>
      </c>
      <c r="U56" s="160">
        <f t="shared" si="10"/>
        <v>259</v>
      </c>
    </row>
    <row r="57" spans="2:22" x14ac:dyDescent="0.25">
      <c r="B57" s="38">
        <v>2</v>
      </c>
      <c r="C57" s="6">
        <f t="shared" ref="C57:C75" si="15">ROUNDDOWN(I13,0)</f>
        <v>0</v>
      </c>
      <c r="D57" s="6"/>
      <c r="E57" s="6"/>
      <c r="F57" s="6"/>
      <c r="G57" s="6"/>
      <c r="H57" s="6">
        <f t="shared" ref="H57:H75" si="16">ROUNDUP(I13,0)</f>
        <v>0</v>
      </c>
      <c r="I57" s="6">
        <f t="shared" si="13"/>
        <v>0</v>
      </c>
      <c r="J57" s="6">
        <f t="shared" si="14"/>
        <v>0</v>
      </c>
      <c r="K57" s="4"/>
      <c r="L57" s="5">
        <f t="shared" si="8"/>
        <v>67.25</v>
      </c>
      <c r="M57" s="39">
        <v>22</v>
      </c>
      <c r="N57" s="159">
        <f t="shared" si="11"/>
        <v>67.25</v>
      </c>
      <c r="O57" s="38">
        <f t="shared" si="12"/>
        <v>2.5</v>
      </c>
      <c r="Q57" s="3">
        <v>22</v>
      </c>
      <c r="R57" s="39">
        <v>67.25</v>
      </c>
      <c r="S57" s="2">
        <f t="shared" si="9"/>
        <v>22</v>
      </c>
      <c r="T57" s="38">
        <v>2.5</v>
      </c>
      <c r="U57" s="160">
        <f t="shared" si="10"/>
        <v>269</v>
      </c>
    </row>
    <row r="58" spans="2:22" x14ac:dyDescent="0.25">
      <c r="B58" s="38">
        <v>3</v>
      </c>
      <c r="C58" s="6">
        <f t="shared" si="15"/>
        <v>0</v>
      </c>
      <c r="D58" s="6"/>
      <c r="E58" s="6"/>
      <c r="F58" s="6"/>
      <c r="G58" s="6"/>
      <c r="H58" s="6">
        <f t="shared" si="16"/>
        <v>0</v>
      </c>
      <c r="I58" s="6">
        <f t="shared" si="13"/>
        <v>0</v>
      </c>
      <c r="J58" s="6">
        <f t="shared" si="14"/>
        <v>0</v>
      </c>
      <c r="K58" s="4"/>
      <c r="L58" s="5">
        <f t="shared" si="8"/>
        <v>69.25</v>
      </c>
      <c r="M58" s="39">
        <v>23</v>
      </c>
      <c r="N58" s="159">
        <f t="shared" si="11"/>
        <v>69.25</v>
      </c>
      <c r="O58" s="38">
        <f t="shared" si="12"/>
        <v>2</v>
      </c>
      <c r="Q58" s="3">
        <v>23</v>
      </c>
      <c r="R58" s="39">
        <v>69.25</v>
      </c>
      <c r="S58" s="2">
        <f t="shared" si="9"/>
        <v>23</v>
      </c>
      <c r="T58" s="38">
        <v>2</v>
      </c>
      <c r="U58" s="160">
        <f t="shared" si="10"/>
        <v>277</v>
      </c>
    </row>
    <row r="59" spans="2:22" x14ac:dyDescent="0.25">
      <c r="B59" s="38">
        <v>4</v>
      </c>
      <c r="C59" s="6">
        <f t="shared" si="15"/>
        <v>0</v>
      </c>
      <c r="D59" s="6"/>
      <c r="E59" s="6"/>
      <c r="F59" s="6"/>
      <c r="G59" s="6"/>
      <c r="H59" s="6">
        <f t="shared" si="16"/>
        <v>0</v>
      </c>
      <c r="I59" s="6">
        <f t="shared" si="13"/>
        <v>0</v>
      </c>
      <c r="J59" s="6">
        <f t="shared" si="14"/>
        <v>0</v>
      </c>
      <c r="K59" s="4"/>
      <c r="L59" s="5">
        <f t="shared" si="8"/>
        <v>71.75</v>
      </c>
      <c r="M59" s="39">
        <v>24</v>
      </c>
      <c r="N59" s="159">
        <f t="shared" si="11"/>
        <v>71.75</v>
      </c>
      <c r="O59" s="38">
        <f t="shared" si="12"/>
        <v>2.5</v>
      </c>
      <c r="Q59" s="3">
        <v>24</v>
      </c>
      <c r="R59" s="39">
        <v>71.75</v>
      </c>
      <c r="S59" s="2">
        <f t="shared" si="9"/>
        <v>24</v>
      </c>
      <c r="T59" s="38">
        <v>2.5</v>
      </c>
      <c r="U59" s="160">
        <f t="shared" si="10"/>
        <v>287</v>
      </c>
    </row>
    <row r="60" spans="2:22" x14ac:dyDescent="0.25">
      <c r="B60" s="38">
        <v>5</v>
      </c>
      <c r="C60" s="6">
        <f t="shared" si="15"/>
        <v>0</v>
      </c>
      <c r="D60" s="6"/>
      <c r="E60" s="6"/>
      <c r="F60" s="6"/>
      <c r="G60" s="6"/>
      <c r="H60" s="6">
        <f t="shared" si="16"/>
        <v>0</v>
      </c>
      <c r="I60" s="6">
        <f t="shared" si="13"/>
        <v>0</v>
      </c>
      <c r="J60" s="6">
        <f t="shared" si="14"/>
        <v>0</v>
      </c>
      <c r="L60" s="5">
        <f t="shared" si="8"/>
        <v>74.25</v>
      </c>
      <c r="M60" s="39">
        <v>25</v>
      </c>
      <c r="N60" s="159">
        <f t="shared" si="11"/>
        <v>74.25</v>
      </c>
      <c r="O60" s="38">
        <f t="shared" si="12"/>
        <v>2.5</v>
      </c>
      <c r="Q60" s="3">
        <v>25</v>
      </c>
      <c r="R60" s="39">
        <v>74.25</v>
      </c>
      <c r="S60" s="2">
        <f t="shared" si="9"/>
        <v>25</v>
      </c>
      <c r="T60" s="38">
        <v>2.5</v>
      </c>
      <c r="U60" s="160">
        <f t="shared" si="10"/>
        <v>297</v>
      </c>
    </row>
    <row r="61" spans="2:22" x14ac:dyDescent="0.25">
      <c r="B61" s="38">
        <v>6</v>
      </c>
      <c r="C61" s="6">
        <f t="shared" si="15"/>
        <v>0</v>
      </c>
      <c r="D61" s="6"/>
      <c r="E61" s="6"/>
      <c r="F61" s="6"/>
      <c r="G61" s="6"/>
      <c r="H61" s="6">
        <f t="shared" si="16"/>
        <v>0</v>
      </c>
      <c r="I61" s="6">
        <f t="shared" si="13"/>
        <v>0</v>
      </c>
      <c r="J61" s="6">
        <f t="shared" si="14"/>
        <v>0</v>
      </c>
      <c r="L61" s="5">
        <f t="shared" si="8"/>
        <v>76.25</v>
      </c>
      <c r="M61" s="39">
        <v>26</v>
      </c>
      <c r="N61" s="159">
        <f t="shared" si="11"/>
        <v>76.25</v>
      </c>
      <c r="O61" s="38">
        <f t="shared" si="12"/>
        <v>2</v>
      </c>
      <c r="Q61" s="3">
        <v>26</v>
      </c>
      <c r="R61" s="39">
        <v>76.25</v>
      </c>
      <c r="S61" s="2">
        <f t="shared" si="9"/>
        <v>26</v>
      </c>
      <c r="T61" s="38">
        <v>2</v>
      </c>
      <c r="U61" s="160">
        <f t="shared" si="10"/>
        <v>305</v>
      </c>
    </row>
    <row r="62" spans="2:22" x14ac:dyDescent="0.25">
      <c r="B62" s="38">
        <v>7</v>
      </c>
      <c r="C62" s="6">
        <f t="shared" si="15"/>
        <v>0</v>
      </c>
      <c r="D62" s="6"/>
      <c r="E62" s="6"/>
      <c r="F62" s="6"/>
      <c r="G62" s="6"/>
      <c r="H62" s="6">
        <f t="shared" si="16"/>
        <v>0</v>
      </c>
      <c r="I62" s="6">
        <f t="shared" si="13"/>
        <v>0</v>
      </c>
      <c r="J62" s="6">
        <f t="shared" si="14"/>
        <v>0</v>
      </c>
      <c r="L62" s="5">
        <f t="shared" si="8"/>
        <v>78.25</v>
      </c>
      <c r="M62" s="39">
        <v>27</v>
      </c>
      <c r="N62" s="159">
        <f t="shared" si="11"/>
        <v>78.25</v>
      </c>
      <c r="O62" s="38">
        <f t="shared" si="12"/>
        <v>2</v>
      </c>
      <c r="Q62" s="3">
        <v>27</v>
      </c>
      <c r="R62" s="106">
        <v>78.25</v>
      </c>
      <c r="S62" s="2">
        <f t="shared" si="9"/>
        <v>27</v>
      </c>
      <c r="T62" s="38">
        <v>2</v>
      </c>
      <c r="U62" s="160">
        <f t="shared" si="10"/>
        <v>313</v>
      </c>
    </row>
    <row r="63" spans="2:22" x14ac:dyDescent="0.25">
      <c r="B63" s="38">
        <v>8</v>
      </c>
      <c r="C63" s="6">
        <f t="shared" si="15"/>
        <v>0</v>
      </c>
      <c r="D63" s="6"/>
      <c r="E63" s="6"/>
      <c r="F63" s="6"/>
      <c r="G63" s="6"/>
      <c r="H63" s="6">
        <f t="shared" si="16"/>
        <v>0</v>
      </c>
      <c r="I63" s="6">
        <f t="shared" si="13"/>
        <v>0</v>
      </c>
      <c r="J63" s="6">
        <f t="shared" si="14"/>
        <v>0</v>
      </c>
      <c r="L63" s="5">
        <f t="shared" si="8"/>
        <v>80.25</v>
      </c>
      <c r="M63" s="39">
        <v>28</v>
      </c>
      <c r="N63" s="159">
        <f t="shared" si="11"/>
        <v>80.25</v>
      </c>
      <c r="O63" s="38">
        <f t="shared" si="12"/>
        <v>2</v>
      </c>
      <c r="Q63" s="3">
        <v>28</v>
      </c>
      <c r="R63" s="106">
        <v>80.25</v>
      </c>
      <c r="S63" s="2">
        <f t="shared" si="9"/>
        <v>28</v>
      </c>
      <c r="T63" s="38">
        <v>2</v>
      </c>
      <c r="U63" s="160">
        <f t="shared" si="10"/>
        <v>321</v>
      </c>
    </row>
    <row r="64" spans="2:22" x14ac:dyDescent="0.25">
      <c r="B64" s="38">
        <v>9</v>
      </c>
      <c r="C64" s="6">
        <f t="shared" si="15"/>
        <v>0</v>
      </c>
      <c r="D64" s="6"/>
      <c r="E64" s="6"/>
      <c r="F64" s="6"/>
      <c r="G64" s="6"/>
      <c r="H64" s="6">
        <f t="shared" si="16"/>
        <v>0</v>
      </c>
      <c r="I64" s="6">
        <f t="shared" si="13"/>
        <v>0</v>
      </c>
      <c r="J64" s="6">
        <f t="shared" si="14"/>
        <v>0</v>
      </c>
      <c r="L64" s="5">
        <f t="shared" si="8"/>
        <v>82.25</v>
      </c>
      <c r="M64" s="39">
        <v>29</v>
      </c>
      <c r="N64" s="159">
        <f t="shared" si="11"/>
        <v>82.25</v>
      </c>
      <c r="O64" s="38">
        <f t="shared" si="12"/>
        <v>2</v>
      </c>
      <c r="Q64" s="3">
        <v>29</v>
      </c>
      <c r="R64" s="106">
        <v>82.25</v>
      </c>
      <c r="S64" s="2">
        <f t="shared" si="9"/>
        <v>29</v>
      </c>
      <c r="T64" s="38">
        <v>2</v>
      </c>
      <c r="U64" s="160">
        <f t="shared" si="10"/>
        <v>329</v>
      </c>
    </row>
    <row r="65" spans="2:21" x14ac:dyDescent="0.25">
      <c r="B65" s="38">
        <v>10</v>
      </c>
      <c r="C65" s="6">
        <f t="shared" si="15"/>
        <v>0</v>
      </c>
      <c r="D65" s="6"/>
      <c r="E65" s="6"/>
      <c r="F65" s="6"/>
      <c r="G65" s="6"/>
      <c r="H65" s="6">
        <f t="shared" si="16"/>
        <v>0</v>
      </c>
      <c r="I65" s="6">
        <f t="shared" si="13"/>
        <v>0</v>
      </c>
      <c r="J65" s="6">
        <f t="shared" si="14"/>
        <v>0</v>
      </c>
      <c r="L65" s="5">
        <f t="shared" si="8"/>
        <v>84.25</v>
      </c>
      <c r="M65" s="39">
        <v>30</v>
      </c>
      <c r="N65" s="159">
        <f t="shared" si="11"/>
        <v>84.25</v>
      </c>
      <c r="O65" s="38">
        <f t="shared" si="12"/>
        <v>2</v>
      </c>
      <c r="Q65" s="3">
        <v>30</v>
      </c>
      <c r="R65" s="106">
        <v>84.25</v>
      </c>
      <c r="S65" s="2">
        <f t="shared" si="9"/>
        <v>30</v>
      </c>
      <c r="T65" s="38">
        <v>2</v>
      </c>
      <c r="U65" s="160">
        <f t="shared" si="10"/>
        <v>337</v>
      </c>
    </row>
    <row r="66" spans="2:21" x14ac:dyDescent="0.25">
      <c r="B66" s="38">
        <v>11</v>
      </c>
      <c r="C66" s="6">
        <f t="shared" si="15"/>
        <v>0</v>
      </c>
      <c r="D66" s="6"/>
      <c r="E66" s="6"/>
      <c r="F66" s="6"/>
      <c r="G66" s="6"/>
      <c r="H66" s="6">
        <f t="shared" si="16"/>
        <v>0</v>
      </c>
      <c r="I66" s="6">
        <f t="shared" si="13"/>
        <v>0</v>
      </c>
      <c r="J66" s="6">
        <f t="shared" si="14"/>
        <v>0</v>
      </c>
      <c r="L66" s="5">
        <f t="shared" si="8"/>
        <v>86.25</v>
      </c>
      <c r="M66" s="39">
        <v>31</v>
      </c>
      <c r="N66" s="159">
        <f t="shared" si="11"/>
        <v>86.25</v>
      </c>
      <c r="O66" s="38">
        <f t="shared" si="12"/>
        <v>2</v>
      </c>
      <c r="Q66" s="3">
        <v>31</v>
      </c>
      <c r="R66" s="106">
        <v>86.25</v>
      </c>
      <c r="S66" s="2">
        <f t="shared" si="9"/>
        <v>31</v>
      </c>
      <c r="T66" s="38">
        <v>2</v>
      </c>
      <c r="U66" s="160">
        <f t="shared" si="10"/>
        <v>345</v>
      </c>
    </row>
    <row r="67" spans="2:21" x14ac:dyDescent="0.25">
      <c r="B67" s="38">
        <v>12</v>
      </c>
      <c r="C67" s="6">
        <f t="shared" si="15"/>
        <v>0</v>
      </c>
      <c r="D67" s="6"/>
      <c r="E67" s="6"/>
      <c r="F67" s="6"/>
      <c r="G67" s="6"/>
      <c r="H67" s="6">
        <f t="shared" si="16"/>
        <v>0</v>
      </c>
      <c r="I67" s="6">
        <f t="shared" si="13"/>
        <v>0</v>
      </c>
      <c r="J67" s="6">
        <f t="shared" si="14"/>
        <v>0</v>
      </c>
      <c r="L67" s="5">
        <f t="shared" si="8"/>
        <v>87.75</v>
      </c>
      <c r="M67" s="39">
        <v>32</v>
      </c>
      <c r="N67" s="159">
        <f t="shared" si="11"/>
        <v>87.75</v>
      </c>
      <c r="O67" s="38">
        <f t="shared" si="12"/>
        <v>1.5</v>
      </c>
      <c r="Q67" s="3">
        <v>32</v>
      </c>
      <c r="R67" s="106">
        <v>87.75</v>
      </c>
      <c r="S67" s="2">
        <f t="shared" si="9"/>
        <v>32</v>
      </c>
      <c r="T67" s="38">
        <v>1.5</v>
      </c>
      <c r="U67" s="160">
        <f t="shared" si="10"/>
        <v>351</v>
      </c>
    </row>
    <row r="68" spans="2:21" x14ac:dyDescent="0.25">
      <c r="B68" s="38">
        <v>13</v>
      </c>
      <c r="C68" s="6">
        <f t="shared" si="15"/>
        <v>0</v>
      </c>
      <c r="D68" s="6"/>
      <c r="E68" s="6"/>
      <c r="F68" s="6"/>
      <c r="G68" s="6"/>
      <c r="H68" s="6">
        <f t="shared" si="16"/>
        <v>0</v>
      </c>
      <c r="I68" s="6">
        <f t="shared" si="13"/>
        <v>0</v>
      </c>
      <c r="J68" s="6">
        <f t="shared" si="14"/>
        <v>0</v>
      </c>
      <c r="L68" s="5">
        <f t="shared" si="8"/>
        <v>89.25</v>
      </c>
      <c r="M68" s="39">
        <v>33</v>
      </c>
      <c r="N68" s="159">
        <f t="shared" si="11"/>
        <v>89.25</v>
      </c>
      <c r="O68" s="38">
        <f t="shared" si="12"/>
        <v>1.5</v>
      </c>
      <c r="Q68" s="3">
        <v>33</v>
      </c>
      <c r="R68" s="106">
        <v>89.25</v>
      </c>
      <c r="S68" s="2">
        <f t="shared" si="9"/>
        <v>33</v>
      </c>
      <c r="T68" s="38">
        <v>1.5</v>
      </c>
      <c r="U68" s="160">
        <f t="shared" si="10"/>
        <v>357</v>
      </c>
    </row>
    <row r="69" spans="2:21" x14ac:dyDescent="0.25">
      <c r="B69" s="38">
        <v>14</v>
      </c>
      <c r="C69" s="6">
        <f t="shared" si="15"/>
        <v>0</v>
      </c>
      <c r="D69" s="6"/>
      <c r="E69" s="6"/>
      <c r="F69" s="6"/>
      <c r="G69" s="6"/>
      <c r="H69" s="6">
        <f t="shared" si="16"/>
        <v>0</v>
      </c>
      <c r="I69" s="6">
        <f t="shared" si="13"/>
        <v>0</v>
      </c>
      <c r="J69" s="6">
        <f t="shared" si="14"/>
        <v>0</v>
      </c>
      <c r="L69" s="5">
        <f t="shared" si="8"/>
        <v>91.25</v>
      </c>
      <c r="M69" s="39">
        <v>34</v>
      </c>
      <c r="N69" s="159">
        <f t="shared" si="11"/>
        <v>91.25</v>
      </c>
      <c r="O69" s="38">
        <f t="shared" si="12"/>
        <v>2</v>
      </c>
      <c r="Q69" s="3">
        <v>34</v>
      </c>
      <c r="R69" s="106">
        <v>91.25</v>
      </c>
      <c r="S69" s="2">
        <f t="shared" si="9"/>
        <v>34</v>
      </c>
      <c r="T69" s="38">
        <v>2</v>
      </c>
      <c r="U69" s="160">
        <f t="shared" si="10"/>
        <v>365</v>
      </c>
    </row>
    <row r="70" spans="2:21" x14ac:dyDescent="0.25">
      <c r="B70" s="38">
        <v>15</v>
      </c>
      <c r="C70" s="6">
        <f t="shared" si="15"/>
        <v>0</v>
      </c>
      <c r="D70" s="6"/>
      <c r="E70" s="6"/>
      <c r="F70" s="6"/>
      <c r="G70" s="6"/>
      <c r="H70" s="6">
        <f t="shared" si="16"/>
        <v>0</v>
      </c>
      <c r="I70" s="6">
        <f t="shared" si="13"/>
        <v>0</v>
      </c>
      <c r="J70" s="6">
        <f t="shared" si="14"/>
        <v>0</v>
      </c>
      <c r="L70" s="5">
        <f t="shared" si="8"/>
        <v>93.25</v>
      </c>
      <c r="M70" s="39">
        <v>35</v>
      </c>
      <c r="N70" s="159">
        <f t="shared" si="11"/>
        <v>93.25</v>
      </c>
      <c r="O70" s="38">
        <f t="shared" si="12"/>
        <v>2</v>
      </c>
      <c r="Q70" s="3">
        <v>35</v>
      </c>
      <c r="R70" s="39">
        <v>93.25</v>
      </c>
      <c r="S70" s="2">
        <f t="shared" si="9"/>
        <v>35</v>
      </c>
      <c r="T70" s="38">
        <v>2</v>
      </c>
      <c r="U70" s="160">
        <f t="shared" si="10"/>
        <v>373</v>
      </c>
    </row>
    <row r="71" spans="2:21" x14ac:dyDescent="0.25">
      <c r="B71" s="38">
        <v>16</v>
      </c>
      <c r="C71" s="6">
        <f t="shared" si="15"/>
        <v>0</v>
      </c>
      <c r="D71" s="6"/>
      <c r="E71" s="6"/>
      <c r="F71" s="6"/>
      <c r="G71" s="6"/>
      <c r="H71" s="6">
        <f t="shared" si="16"/>
        <v>0</v>
      </c>
      <c r="I71" s="6">
        <f t="shared" si="13"/>
        <v>0</v>
      </c>
      <c r="J71" s="6">
        <f t="shared" si="14"/>
        <v>0</v>
      </c>
      <c r="L71" s="5">
        <f t="shared" si="8"/>
        <v>95.25</v>
      </c>
      <c r="M71" s="39">
        <v>36</v>
      </c>
      <c r="N71" s="159">
        <f t="shared" si="11"/>
        <v>95.25</v>
      </c>
      <c r="O71" s="38">
        <f t="shared" si="12"/>
        <v>2</v>
      </c>
      <c r="Q71" s="3">
        <v>36</v>
      </c>
      <c r="R71" s="39">
        <v>95.25</v>
      </c>
      <c r="S71" s="2">
        <f t="shared" si="9"/>
        <v>36</v>
      </c>
      <c r="T71" s="38">
        <v>2</v>
      </c>
      <c r="U71" s="160">
        <f t="shared" si="10"/>
        <v>381</v>
      </c>
    </row>
    <row r="72" spans="2:21" x14ac:dyDescent="0.25">
      <c r="B72" s="38">
        <v>17</v>
      </c>
      <c r="C72" s="6">
        <f t="shared" si="15"/>
        <v>0</v>
      </c>
      <c r="D72" s="6"/>
      <c r="E72" s="6"/>
      <c r="F72" s="6"/>
      <c r="G72" s="6"/>
      <c r="H72" s="6">
        <f t="shared" si="16"/>
        <v>0</v>
      </c>
      <c r="I72" s="6">
        <f t="shared" si="13"/>
        <v>0</v>
      </c>
      <c r="J72" s="6">
        <f t="shared" si="14"/>
        <v>0</v>
      </c>
      <c r="L72" s="5">
        <f t="shared" si="8"/>
        <v>97</v>
      </c>
      <c r="M72" s="39">
        <v>37</v>
      </c>
      <c r="N72" s="159">
        <f t="shared" si="11"/>
        <v>97</v>
      </c>
      <c r="O72" s="38">
        <f t="shared" si="12"/>
        <v>1.75</v>
      </c>
      <c r="Q72" s="3">
        <v>37</v>
      </c>
      <c r="R72" s="39">
        <v>97</v>
      </c>
      <c r="S72" s="2">
        <f t="shared" si="9"/>
        <v>37</v>
      </c>
      <c r="T72" s="38">
        <v>1.75</v>
      </c>
      <c r="U72" s="160">
        <f t="shared" si="10"/>
        <v>388</v>
      </c>
    </row>
    <row r="73" spans="2:21" x14ac:dyDescent="0.25">
      <c r="B73" s="38">
        <v>18</v>
      </c>
      <c r="C73" s="6">
        <f t="shared" si="15"/>
        <v>0</v>
      </c>
      <c r="D73" s="6"/>
      <c r="E73" s="6"/>
      <c r="F73" s="6"/>
      <c r="G73" s="6"/>
      <c r="H73" s="6">
        <f t="shared" si="16"/>
        <v>0</v>
      </c>
      <c r="I73" s="6">
        <f t="shared" si="13"/>
        <v>0</v>
      </c>
      <c r="J73" s="6">
        <f t="shared" si="14"/>
        <v>0</v>
      </c>
      <c r="L73" s="5">
        <f t="shared" si="8"/>
        <v>98.5</v>
      </c>
      <c r="M73" s="39">
        <v>38</v>
      </c>
      <c r="N73" s="159">
        <f t="shared" si="11"/>
        <v>98.5</v>
      </c>
      <c r="O73" s="38">
        <f t="shared" si="12"/>
        <v>1.5</v>
      </c>
      <c r="Q73" s="3">
        <v>38</v>
      </c>
      <c r="R73" s="39">
        <v>98.5</v>
      </c>
      <c r="S73" s="2">
        <f t="shared" si="9"/>
        <v>38</v>
      </c>
      <c r="T73" s="38">
        <v>1.5</v>
      </c>
      <c r="U73" s="160">
        <f t="shared" si="10"/>
        <v>394</v>
      </c>
    </row>
    <row r="74" spans="2:21" x14ac:dyDescent="0.25">
      <c r="B74" s="38">
        <v>19</v>
      </c>
      <c r="C74" s="6">
        <f t="shared" si="15"/>
        <v>0</v>
      </c>
      <c r="D74" s="6"/>
      <c r="E74" s="6"/>
      <c r="F74" s="6"/>
      <c r="G74" s="6"/>
      <c r="H74" s="6">
        <f t="shared" si="16"/>
        <v>0</v>
      </c>
      <c r="I74" s="6">
        <f t="shared" si="13"/>
        <v>0</v>
      </c>
      <c r="J74" s="6">
        <f t="shared" si="14"/>
        <v>0</v>
      </c>
      <c r="L74" s="5">
        <f t="shared" si="8"/>
        <v>100</v>
      </c>
      <c r="M74" s="39">
        <v>39</v>
      </c>
      <c r="N74" s="159">
        <f t="shared" si="11"/>
        <v>100</v>
      </c>
      <c r="O74" s="38">
        <f t="shared" si="12"/>
        <v>1.5</v>
      </c>
      <c r="Q74" s="3">
        <v>39</v>
      </c>
      <c r="R74" s="39">
        <v>100</v>
      </c>
      <c r="S74" s="2">
        <f t="shared" si="9"/>
        <v>39</v>
      </c>
      <c r="T74" s="38">
        <v>1.5</v>
      </c>
      <c r="U74" s="160">
        <f t="shared" si="10"/>
        <v>400</v>
      </c>
    </row>
    <row r="75" spans="2:21" x14ac:dyDescent="0.25">
      <c r="B75" s="38">
        <v>20</v>
      </c>
      <c r="C75" s="6">
        <f t="shared" si="15"/>
        <v>0</v>
      </c>
      <c r="D75" s="6"/>
      <c r="E75" s="6"/>
      <c r="F75" s="6"/>
      <c r="G75" s="6"/>
      <c r="H75" s="6">
        <f t="shared" si="16"/>
        <v>0</v>
      </c>
      <c r="I75" s="6">
        <f t="shared" si="13"/>
        <v>0</v>
      </c>
      <c r="J75" s="6">
        <f t="shared" si="14"/>
        <v>0</v>
      </c>
      <c r="L75" s="5">
        <f t="shared" si="8"/>
        <v>101.5</v>
      </c>
      <c r="M75" s="39">
        <v>40</v>
      </c>
      <c r="N75" s="159">
        <f t="shared" si="11"/>
        <v>101.5</v>
      </c>
      <c r="O75" s="38">
        <f t="shared" si="12"/>
        <v>1.5</v>
      </c>
      <c r="Q75" s="3">
        <v>40</v>
      </c>
      <c r="R75" s="39">
        <v>101.5</v>
      </c>
      <c r="S75" s="2">
        <f t="shared" si="9"/>
        <v>40</v>
      </c>
      <c r="T75" s="38">
        <v>1.5</v>
      </c>
      <c r="U75" s="160">
        <f t="shared" si="10"/>
        <v>406</v>
      </c>
    </row>
    <row r="76" spans="2:21" x14ac:dyDescent="0.25">
      <c r="L76" s="5">
        <f t="shared" si="8"/>
        <v>103.5</v>
      </c>
      <c r="M76" s="39">
        <v>41</v>
      </c>
      <c r="N76" s="159">
        <f t="shared" si="11"/>
        <v>103.5</v>
      </c>
      <c r="O76" s="38">
        <f t="shared" si="12"/>
        <v>2</v>
      </c>
      <c r="Q76" s="3">
        <v>41</v>
      </c>
      <c r="R76" s="39">
        <v>103.5</v>
      </c>
      <c r="S76" s="2">
        <f t="shared" si="9"/>
        <v>41</v>
      </c>
      <c r="T76" s="38">
        <v>2</v>
      </c>
      <c r="U76" s="160">
        <f t="shared" si="10"/>
        <v>414</v>
      </c>
    </row>
    <row r="77" spans="2:21" x14ac:dyDescent="0.25">
      <c r="B77" s="176" t="str">
        <f>_xlfn.CONCAT(U35," ",U36," ",U37," ",U38," ",U39," ",U40," ",U41," ",U42," ",U43," ",U44," ",U45," ",U46," ",U47," ",U48," ",U49," ",U50," ",U51," ",U52," ",U53," ",U54," ",U55," ",U56," ",U57," ",U58," ",U59," ",U60," ",U61," ",U62," ",U63," ",U64," ",U65," ",U66," ",U67," ",U68," ",U69," ",U70," ",U71," ",U72," ",U73," ",U74," ",U75," ",U76," ",U77," ",U78," ",U79," ",U80," ",U81," ",U82," ",U83," ",U84," ",U85," ",U86," ",U87," ",U88," ",U89," ",U90," ",U91," ",U92," ",U93," ",U94," ",U95," ",U96," ",U97," ",U98," ",U99," ",U100," ",U101," ",U102," ",U103," ",U104," ",U105," ",U106," ",U107," ",U108," ",U109," ",U110," ",U111," ",U112," ",U113," ",U114," ",U115," ",U116," ",U117," ",U118," ",U119," ",U120," ",U121," ",U122," ",U123," ",U124," ",U125," ",U126," ",U127," ",U128," ",U129," ",U130," ",U131," ",U132," ",U133," ",U134," ",U135," ",U136," ",U137," ",U138," ",U139," ",U140," ",U141," ",U142," ",U143," ",U144," ",U145," ",U146," ",U147," ",U148," ",U149," ",U150," ",U151," ",U152," ",U153," ",U154," ",U155," ",U156," ",U157," ",U158," ",U159," ",U160," ",U161)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77" s="176"/>
      <c r="L77" s="5">
        <f t="shared" si="8"/>
        <v>105</v>
      </c>
      <c r="M77" s="39">
        <v>42</v>
      </c>
      <c r="N77" s="159">
        <f t="shared" si="11"/>
        <v>105</v>
      </c>
      <c r="O77" s="38">
        <f t="shared" si="12"/>
        <v>1.5</v>
      </c>
      <c r="Q77" s="3">
        <v>42</v>
      </c>
      <c r="R77" s="39">
        <v>105</v>
      </c>
      <c r="S77" s="2">
        <f t="shared" si="9"/>
        <v>42</v>
      </c>
      <c r="T77" s="38">
        <v>1.5</v>
      </c>
      <c r="U77" s="160">
        <f t="shared" si="10"/>
        <v>420</v>
      </c>
    </row>
    <row r="78" spans="2:21" x14ac:dyDescent="0.25">
      <c r="B78" s="176"/>
      <c r="C78" s="176"/>
      <c r="L78" s="5">
        <f t="shared" si="8"/>
        <v>106.5</v>
      </c>
      <c r="M78" s="39">
        <v>43</v>
      </c>
      <c r="N78" s="159">
        <f t="shared" si="11"/>
        <v>106.5</v>
      </c>
      <c r="O78" s="38">
        <f t="shared" si="12"/>
        <v>1.5</v>
      </c>
      <c r="Q78" s="3">
        <v>43</v>
      </c>
      <c r="R78" s="39">
        <v>106.5</v>
      </c>
      <c r="S78" s="2">
        <f t="shared" si="9"/>
        <v>43</v>
      </c>
      <c r="T78" s="38">
        <v>1.5</v>
      </c>
      <c r="U78" s="160">
        <f t="shared" si="10"/>
        <v>426</v>
      </c>
    </row>
    <row r="79" spans="2:21" x14ac:dyDescent="0.25">
      <c r="B79" s="176"/>
      <c r="C79" s="176"/>
      <c r="L79" s="5">
        <f t="shared" si="8"/>
        <v>108.5</v>
      </c>
      <c r="M79" s="39">
        <v>44</v>
      </c>
      <c r="N79" s="159">
        <f t="shared" si="11"/>
        <v>108.5</v>
      </c>
      <c r="O79" s="38">
        <f t="shared" si="12"/>
        <v>2</v>
      </c>
      <c r="Q79" s="3">
        <v>44</v>
      </c>
      <c r="R79" s="39">
        <v>108.5</v>
      </c>
      <c r="S79" s="2">
        <f t="shared" si="9"/>
        <v>44</v>
      </c>
      <c r="T79" s="38">
        <v>2</v>
      </c>
      <c r="U79" s="160">
        <f t="shared" si="10"/>
        <v>434</v>
      </c>
    </row>
    <row r="80" spans="2:21" x14ac:dyDescent="0.25">
      <c r="B80" s="176"/>
      <c r="C80" s="176"/>
      <c r="L80" s="5">
        <f t="shared" si="8"/>
        <v>110</v>
      </c>
      <c r="M80" s="39">
        <v>45</v>
      </c>
      <c r="N80" s="159">
        <f t="shared" si="11"/>
        <v>110</v>
      </c>
      <c r="O80" s="38">
        <f t="shared" si="12"/>
        <v>1.5</v>
      </c>
      <c r="Q80" s="3">
        <v>45</v>
      </c>
      <c r="R80" s="39">
        <v>110</v>
      </c>
      <c r="S80" s="2">
        <f t="shared" si="9"/>
        <v>45</v>
      </c>
      <c r="T80" s="38">
        <v>1.5</v>
      </c>
      <c r="U80" s="160">
        <f t="shared" si="10"/>
        <v>440</v>
      </c>
    </row>
    <row r="81" spans="2:21" x14ac:dyDescent="0.25">
      <c r="B81" s="176" t="str">
        <f>_xlfn.CONCAT(U162," ",U163," ",U164," ",U165," ",U166," ",U167," ",U168," ",U169," ",U170," ",U171," ",U172," ",U173," ",U174," ",U175," ",U176," ",U177," ",U178," ",U179," ",U180," ",U181," ",U182," ",U183," ",U184," ",U185," ",U186," ",U187," ",U188," ",U189," ",U190," ",U191," ",U192," ",U193," ",U194," ",U195," ",U196," ",U197," ",U198," ",U199," ",U200," ",U201," ",U202," ",U203," ",U204," ",U205," ",U206," ",U207," ",U208," ",U209," ",U210," ",U211," ",U212," ",U213," ",U214," ",U215," ",U216," ",U217," ",U218," ",U219," ",U220," ",U221," ",U222," ",U223," ",U224," ",U225," ",U226," ",U227," ",U228," ",U229," ",U230," ",U231)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81" s="176"/>
      <c r="L81" s="5">
        <f t="shared" si="8"/>
        <v>111</v>
      </c>
      <c r="M81" s="39">
        <v>46</v>
      </c>
      <c r="N81" s="159">
        <f t="shared" si="11"/>
        <v>111</v>
      </c>
      <c r="O81" s="38">
        <f t="shared" si="12"/>
        <v>1</v>
      </c>
      <c r="Q81" s="3">
        <v>46</v>
      </c>
      <c r="R81" s="39">
        <v>111</v>
      </c>
      <c r="S81" s="2">
        <f t="shared" si="9"/>
        <v>46</v>
      </c>
      <c r="T81" s="38">
        <v>1</v>
      </c>
      <c r="U81" s="160">
        <f t="shared" si="10"/>
        <v>444</v>
      </c>
    </row>
    <row r="82" spans="2:21" x14ac:dyDescent="0.25">
      <c r="B82" s="176"/>
      <c r="C82" s="176"/>
      <c r="L82" s="5">
        <f t="shared" si="8"/>
        <v>112.5</v>
      </c>
      <c r="M82" s="39">
        <v>47</v>
      </c>
      <c r="N82" s="159">
        <f t="shared" si="11"/>
        <v>112.5</v>
      </c>
      <c r="O82" s="38">
        <f t="shared" si="12"/>
        <v>1.5</v>
      </c>
      <c r="Q82" s="3">
        <v>47</v>
      </c>
      <c r="R82" s="39">
        <v>112.5</v>
      </c>
      <c r="S82" s="2">
        <f t="shared" si="9"/>
        <v>47</v>
      </c>
      <c r="T82" s="38">
        <v>1.5</v>
      </c>
      <c r="U82" s="160">
        <f t="shared" si="10"/>
        <v>450</v>
      </c>
    </row>
    <row r="83" spans="2:21" x14ac:dyDescent="0.25">
      <c r="B83" s="176"/>
      <c r="C83" s="176"/>
      <c r="L83" s="5">
        <f t="shared" si="8"/>
        <v>114.5</v>
      </c>
      <c r="M83" s="39">
        <v>48</v>
      </c>
      <c r="N83" s="159">
        <f t="shared" si="11"/>
        <v>114.5</v>
      </c>
      <c r="O83" s="38">
        <f t="shared" si="12"/>
        <v>2</v>
      </c>
      <c r="Q83" s="3">
        <v>48</v>
      </c>
      <c r="R83" s="39">
        <v>114.5</v>
      </c>
      <c r="S83" s="2">
        <f t="shared" si="9"/>
        <v>48</v>
      </c>
      <c r="T83" s="38">
        <v>2</v>
      </c>
      <c r="U83" s="160">
        <f t="shared" si="10"/>
        <v>458</v>
      </c>
    </row>
    <row r="84" spans="2:21" x14ac:dyDescent="0.25">
      <c r="B84" s="176"/>
      <c r="C84" s="176"/>
      <c r="L84" s="5">
        <f t="shared" si="8"/>
        <v>116</v>
      </c>
      <c r="M84" s="39">
        <v>49</v>
      </c>
      <c r="N84" s="159">
        <f t="shared" si="11"/>
        <v>116</v>
      </c>
      <c r="O84" s="38">
        <f t="shared" si="12"/>
        <v>1.5</v>
      </c>
      <c r="Q84" s="3">
        <v>49</v>
      </c>
      <c r="R84" s="39">
        <v>116</v>
      </c>
      <c r="S84" s="2">
        <f t="shared" si="9"/>
        <v>49</v>
      </c>
      <c r="T84" s="38">
        <v>1.5</v>
      </c>
      <c r="U84" s="160">
        <f t="shared" si="10"/>
        <v>464</v>
      </c>
    </row>
    <row r="85" spans="2:21" x14ac:dyDescent="0.25">
      <c r="B85" s="177" t="str">
        <f>_xlfn.CONCAT(U232," ",U233," ",U234," ",U235," ",U236," ",U237," ",U238," ",U239," ",U240," ",U241," ",U242," ",U243," ",U244," ",U245," ",U246," ",U247," ",U248," ",U249," ",U250," ",U251," ",U252," ",U253," ",U254," ",U255," ",U256," ",U257," ",U258," ",U259," ",U260," ",U261," ",U262," ",U263," ",U264," ",U265," ",U266," ",U267," ",U268," ",U269," ",U270," ",U271," ",U272," ",U273," ",U274," ",U275," ",U276," ",U277," ",U278," ",U279," ",U280," ",U281," ",U282," ",U283," ",U284," ",U285," ",U286," ",U287," ",U288," ",U289," ",U290," ",U291)</f>
        <v>925 927 929 931 932 934 935 937 939 941 943 945 947 948 950 952 954 955 957 959 961 963 964 966 967 969 971 972 974 975 976 978 980 982 983 985 987 988 990 992 994 995 997 999 1001 1003 1004 1005 1007 1008 1010 1011 1013 1015 1016 1017 1019 1020 1022 1023</v>
      </c>
      <c r="C85" s="178"/>
      <c r="L85" s="5">
        <f t="shared" si="8"/>
        <v>117</v>
      </c>
      <c r="M85" s="39">
        <v>50</v>
      </c>
      <c r="N85" s="159">
        <f t="shared" si="11"/>
        <v>117</v>
      </c>
      <c r="O85" s="38">
        <f t="shared" si="12"/>
        <v>1</v>
      </c>
      <c r="Q85" s="3">
        <v>50</v>
      </c>
      <c r="R85" s="39">
        <v>117</v>
      </c>
      <c r="S85" s="2">
        <f t="shared" si="9"/>
        <v>50</v>
      </c>
      <c r="T85" s="38">
        <v>1</v>
      </c>
      <c r="U85" s="160">
        <f t="shared" si="10"/>
        <v>468</v>
      </c>
    </row>
    <row r="86" spans="2:21" x14ac:dyDescent="0.25">
      <c r="B86" s="179"/>
      <c r="C86" s="180"/>
      <c r="L86" s="5">
        <f t="shared" si="8"/>
        <v>118.5</v>
      </c>
      <c r="M86" s="39">
        <v>51</v>
      </c>
      <c r="N86" s="159">
        <f t="shared" si="11"/>
        <v>118.5</v>
      </c>
      <c r="O86" s="38">
        <f t="shared" si="12"/>
        <v>1.5</v>
      </c>
      <c r="Q86" s="3">
        <v>51</v>
      </c>
      <c r="R86" s="39">
        <v>118.5</v>
      </c>
      <c r="S86" s="2">
        <f t="shared" si="9"/>
        <v>51</v>
      </c>
      <c r="T86" s="38">
        <v>1.5</v>
      </c>
      <c r="U86" s="160">
        <f t="shared" si="10"/>
        <v>474</v>
      </c>
    </row>
    <row r="87" spans="2:21" x14ac:dyDescent="0.25">
      <c r="B87" s="179"/>
      <c r="C87" s="180"/>
      <c r="L87" s="5">
        <f t="shared" si="8"/>
        <v>120</v>
      </c>
      <c r="M87" s="39">
        <v>52</v>
      </c>
      <c r="N87" s="159">
        <f t="shared" si="11"/>
        <v>120</v>
      </c>
      <c r="O87" s="38">
        <f t="shared" si="12"/>
        <v>1.5</v>
      </c>
      <c r="Q87" s="3">
        <v>52</v>
      </c>
      <c r="R87" s="39">
        <v>120</v>
      </c>
      <c r="S87" s="2">
        <f t="shared" si="9"/>
        <v>52</v>
      </c>
      <c r="T87" s="38">
        <v>1.5</v>
      </c>
      <c r="U87" s="160">
        <f t="shared" si="10"/>
        <v>480</v>
      </c>
    </row>
    <row r="88" spans="2:21" x14ac:dyDescent="0.25">
      <c r="B88" s="181"/>
      <c r="C88" s="182"/>
      <c r="L88" s="5">
        <f t="shared" si="8"/>
        <v>121.5</v>
      </c>
      <c r="M88" s="39">
        <v>53</v>
      </c>
      <c r="N88" s="159">
        <f t="shared" si="11"/>
        <v>121.5</v>
      </c>
      <c r="O88" s="38">
        <f t="shared" si="12"/>
        <v>1.5</v>
      </c>
      <c r="Q88" s="3">
        <v>53</v>
      </c>
      <c r="R88" s="39">
        <v>121.5</v>
      </c>
      <c r="S88" s="2">
        <f t="shared" si="9"/>
        <v>53</v>
      </c>
      <c r="T88" s="38">
        <v>1.5</v>
      </c>
      <c r="U88" s="160">
        <f t="shared" si="10"/>
        <v>486</v>
      </c>
    </row>
    <row r="89" spans="2:21" x14ac:dyDescent="0.25">
      <c r="B89" s="106"/>
      <c r="C89" s="106"/>
      <c r="L89" s="5">
        <f t="shared" si="8"/>
        <v>123</v>
      </c>
      <c r="M89" s="39">
        <v>54</v>
      </c>
      <c r="N89" s="159">
        <f t="shared" si="11"/>
        <v>123</v>
      </c>
      <c r="O89" s="38">
        <f t="shared" si="12"/>
        <v>1.5</v>
      </c>
      <c r="Q89" s="3">
        <v>54</v>
      </c>
      <c r="R89" s="39">
        <v>123</v>
      </c>
      <c r="S89" s="2">
        <f t="shared" si="9"/>
        <v>54</v>
      </c>
      <c r="T89" s="38">
        <v>1.5</v>
      </c>
      <c r="U89" s="160">
        <f t="shared" si="10"/>
        <v>492</v>
      </c>
    </row>
    <row r="90" spans="2:21" x14ac:dyDescent="0.25">
      <c r="B90" s="106"/>
      <c r="C90" s="106"/>
      <c r="L90" s="5">
        <f t="shared" si="8"/>
        <v>124</v>
      </c>
      <c r="M90" s="39">
        <v>55</v>
      </c>
      <c r="N90" s="159">
        <f t="shared" si="11"/>
        <v>124</v>
      </c>
      <c r="O90" s="38">
        <f t="shared" si="12"/>
        <v>1</v>
      </c>
      <c r="Q90" s="3">
        <v>55</v>
      </c>
      <c r="R90" s="39">
        <v>124</v>
      </c>
      <c r="S90" s="2">
        <f t="shared" si="9"/>
        <v>55</v>
      </c>
      <c r="T90" s="38">
        <v>1</v>
      </c>
      <c r="U90" s="160">
        <f t="shared" si="10"/>
        <v>496</v>
      </c>
    </row>
    <row r="91" spans="2:21" x14ac:dyDescent="0.25">
      <c r="B91" s="106"/>
      <c r="C91" s="106"/>
      <c r="L91" s="5">
        <f t="shared" si="8"/>
        <v>125.5</v>
      </c>
      <c r="M91" s="39">
        <v>56</v>
      </c>
      <c r="N91" s="159">
        <f t="shared" si="11"/>
        <v>125.5</v>
      </c>
      <c r="O91" s="38">
        <f t="shared" si="12"/>
        <v>1.5</v>
      </c>
      <c r="Q91" s="3">
        <v>56</v>
      </c>
      <c r="R91" s="39">
        <v>125.5</v>
      </c>
      <c r="S91" s="2">
        <f t="shared" si="9"/>
        <v>56</v>
      </c>
      <c r="T91" s="38">
        <v>1.5</v>
      </c>
      <c r="U91" s="160">
        <f t="shared" si="10"/>
        <v>502</v>
      </c>
    </row>
    <row r="92" spans="2:21" x14ac:dyDescent="0.25">
      <c r="B92" s="106"/>
      <c r="C92" s="106"/>
      <c r="L92" s="5">
        <f t="shared" si="8"/>
        <v>127</v>
      </c>
      <c r="M92" s="39">
        <v>57</v>
      </c>
      <c r="N92" s="159">
        <f t="shared" si="11"/>
        <v>127</v>
      </c>
      <c r="O92" s="38">
        <f t="shared" si="12"/>
        <v>1.5</v>
      </c>
      <c r="Q92" s="3">
        <v>57</v>
      </c>
      <c r="R92" s="39">
        <v>127</v>
      </c>
      <c r="S92" s="2">
        <f t="shared" si="9"/>
        <v>57</v>
      </c>
      <c r="T92" s="38">
        <v>1.5</v>
      </c>
      <c r="U92" s="160">
        <f t="shared" si="10"/>
        <v>508</v>
      </c>
    </row>
    <row r="93" spans="2:21" x14ac:dyDescent="0.25">
      <c r="B93" s="117"/>
      <c r="C93" s="111"/>
      <c r="L93" s="5">
        <f t="shared" si="8"/>
        <v>128</v>
      </c>
      <c r="M93" s="39">
        <v>58</v>
      </c>
      <c r="N93" s="159">
        <f t="shared" si="11"/>
        <v>128</v>
      </c>
      <c r="O93" s="38">
        <f t="shared" si="12"/>
        <v>1</v>
      </c>
      <c r="Q93" s="3">
        <v>58</v>
      </c>
      <c r="R93" s="39">
        <v>128</v>
      </c>
      <c r="S93" s="2">
        <f t="shared" si="9"/>
        <v>58</v>
      </c>
      <c r="T93" s="38">
        <v>1</v>
      </c>
      <c r="U93" s="160">
        <f t="shared" si="10"/>
        <v>512</v>
      </c>
    </row>
    <row r="94" spans="2:21" x14ac:dyDescent="0.25">
      <c r="B94" s="111"/>
      <c r="C94" s="111"/>
      <c r="L94" s="5">
        <f t="shared" si="8"/>
        <v>129.5</v>
      </c>
      <c r="M94" s="39">
        <v>59</v>
      </c>
      <c r="N94" s="159">
        <f t="shared" si="11"/>
        <v>129.5</v>
      </c>
      <c r="O94" s="38">
        <f t="shared" si="12"/>
        <v>1.5</v>
      </c>
      <c r="Q94" s="3">
        <v>59</v>
      </c>
      <c r="R94" s="39">
        <v>129.5</v>
      </c>
      <c r="S94" s="2">
        <f t="shared" si="9"/>
        <v>59</v>
      </c>
      <c r="T94" s="38">
        <v>1.5</v>
      </c>
      <c r="U94" s="160">
        <f t="shared" si="10"/>
        <v>518</v>
      </c>
    </row>
    <row r="95" spans="2:21" x14ac:dyDescent="0.25">
      <c r="B95" s="111"/>
      <c r="C95" s="111"/>
      <c r="L95" s="5">
        <f t="shared" si="8"/>
        <v>131</v>
      </c>
      <c r="M95" s="39">
        <v>60</v>
      </c>
      <c r="N95" s="159">
        <f t="shared" si="11"/>
        <v>131</v>
      </c>
      <c r="O95" s="38">
        <f t="shared" si="12"/>
        <v>1.5</v>
      </c>
      <c r="Q95" s="3">
        <v>60</v>
      </c>
      <c r="R95" s="39">
        <v>131</v>
      </c>
      <c r="S95" s="2">
        <f t="shared" si="9"/>
        <v>60</v>
      </c>
      <c r="T95" s="38">
        <v>1.5</v>
      </c>
      <c r="U95" s="160">
        <f t="shared" si="10"/>
        <v>524</v>
      </c>
    </row>
    <row r="96" spans="2:21" x14ac:dyDescent="0.25">
      <c r="B96" s="111"/>
      <c r="C96" s="111"/>
      <c r="L96" s="5">
        <f t="shared" si="8"/>
        <v>132</v>
      </c>
      <c r="M96" s="39">
        <v>61</v>
      </c>
      <c r="N96" s="159">
        <f t="shared" si="11"/>
        <v>132</v>
      </c>
      <c r="O96" s="38">
        <f t="shared" si="12"/>
        <v>1</v>
      </c>
      <c r="Q96" s="3">
        <v>61</v>
      </c>
      <c r="R96" s="39">
        <v>132</v>
      </c>
      <c r="S96" s="2">
        <f t="shared" si="9"/>
        <v>61</v>
      </c>
      <c r="T96" s="38">
        <v>1</v>
      </c>
      <c r="U96" s="160">
        <f t="shared" si="10"/>
        <v>528</v>
      </c>
    </row>
    <row r="97" spans="12:21" x14ac:dyDescent="0.25">
      <c r="L97" s="5">
        <f t="shared" si="8"/>
        <v>133.5</v>
      </c>
      <c r="M97" s="39">
        <v>62</v>
      </c>
      <c r="N97" s="159">
        <f t="shared" si="11"/>
        <v>133.5</v>
      </c>
      <c r="O97" s="38">
        <f t="shared" si="12"/>
        <v>1.5</v>
      </c>
      <c r="Q97" s="3">
        <v>62</v>
      </c>
      <c r="R97" s="39">
        <v>133.5</v>
      </c>
      <c r="S97" s="2">
        <f t="shared" si="9"/>
        <v>62</v>
      </c>
      <c r="T97" s="38">
        <v>1.5</v>
      </c>
      <c r="U97" s="160">
        <f t="shared" si="10"/>
        <v>534</v>
      </c>
    </row>
    <row r="98" spans="12:21" x14ac:dyDescent="0.25">
      <c r="L98" s="5">
        <f t="shared" si="8"/>
        <v>134.5</v>
      </c>
      <c r="M98" s="39">
        <v>63</v>
      </c>
      <c r="N98" s="159">
        <f t="shared" si="11"/>
        <v>134.5</v>
      </c>
      <c r="O98" s="38">
        <f t="shared" si="12"/>
        <v>1</v>
      </c>
      <c r="Q98" s="3">
        <v>63</v>
      </c>
      <c r="R98" s="39">
        <v>134.5</v>
      </c>
      <c r="S98" s="2">
        <f t="shared" si="9"/>
        <v>63</v>
      </c>
      <c r="T98" s="38">
        <v>1</v>
      </c>
      <c r="U98" s="160">
        <f t="shared" si="10"/>
        <v>538</v>
      </c>
    </row>
    <row r="99" spans="12:21" x14ac:dyDescent="0.25">
      <c r="L99" s="5">
        <f t="shared" si="8"/>
        <v>135.5</v>
      </c>
      <c r="M99" s="39">
        <v>64</v>
      </c>
      <c r="N99" s="159">
        <f t="shared" si="11"/>
        <v>135.5</v>
      </c>
      <c r="O99" s="38">
        <f t="shared" si="12"/>
        <v>1</v>
      </c>
      <c r="Q99" s="3">
        <v>64</v>
      </c>
      <c r="R99" s="39">
        <v>135.5</v>
      </c>
      <c r="S99" s="2">
        <f t="shared" si="9"/>
        <v>64</v>
      </c>
      <c r="T99" s="38">
        <v>1</v>
      </c>
      <c r="U99" s="160">
        <f t="shared" si="10"/>
        <v>542</v>
      </c>
    </row>
    <row r="100" spans="12:21" x14ac:dyDescent="0.25">
      <c r="L100" s="5">
        <f t="shared" ref="L100:L163" si="17">N100</f>
        <v>137</v>
      </c>
      <c r="M100" s="39">
        <v>65</v>
      </c>
      <c r="N100" s="159">
        <f t="shared" si="11"/>
        <v>137</v>
      </c>
      <c r="O100" s="38">
        <f t="shared" si="12"/>
        <v>1.5</v>
      </c>
      <c r="Q100" s="3">
        <v>65</v>
      </c>
      <c r="R100" s="39">
        <v>137</v>
      </c>
      <c r="S100" s="2">
        <f t="shared" ref="S100:S163" si="18">Q100</f>
        <v>65</v>
      </c>
      <c r="T100" s="38">
        <v>1.5</v>
      </c>
      <c r="U100" s="160">
        <f t="shared" ref="U100:U163" si="19">R100*4</f>
        <v>548</v>
      </c>
    </row>
    <row r="101" spans="12:21" x14ac:dyDescent="0.25">
      <c r="L101" s="5">
        <f t="shared" si="17"/>
        <v>138</v>
      </c>
      <c r="M101" s="39">
        <v>66</v>
      </c>
      <c r="N101" s="159">
        <f t="shared" ref="N101:N164" si="20">VALUE(MID($S$2,FIND("*",SUBSTITUTE($S$2," ","*",M101),1)+1,FIND("*",SUBSTITUTE($S$2," ","*",M102),1)-FIND("*",SUBSTITUTE($S$2," ","*",M101),1)-1))/4</f>
        <v>138</v>
      </c>
      <c r="O101" s="38">
        <f t="shared" ref="O101:O164" si="21">N101-N100</f>
        <v>1</v>
      </c>
      <c r="Q101" s="3">
        <v>66</v>
      </c>
      <c r="R101" s="39">
        <v>138</v>
      </c>
      <c r="S101" s="2">
        <f t="shared" si="18"/>
        <v>66</v>
      </c>
      <c r="T101" s="38">
        <v>1</v>
      </c>
      <c r="U101" s="160">
        <f t="shared" si="19"/>
        <v>552</v>
      </c>
    </row>
    <row r="102" spans="12:21" x14ac:dyDescent="0.25">
      <c r="L102" s="5">
        <f t="shared" si="17"/>
        <v>139.5</v>
      </c>
      <c r="M102" s="39">
        <v>67</v>
      </c>
      <c r="N102" s="159">
        <f t="shared" si="20"/>
        <v>139.5</v>
      </c>
      <c r="O102" s="38">
        <f t="shared" si="21"/>
        <v>1.5</v>
      </c>
      <c r="Q102" s="3">
        <v>67</v>
      </c>
      <c r="R102" s="39">
        <v>139.5</v>
      </c>
      <c r="S102" s="2">
        <f t="shared" si="18"/>
        <v>67</v>
      </c>
      <c r="T102" s="38">
        <v>1.5</v>
      </c>
      <c r="U102" s="160">
        <f t="shared" si="19"/>
        <v>558</v>
      </c>
    </row>
    <row r="103" spans="12:21" x14ac:dyDescent="0.25">
      <c r="L103" s="5">
        <f t="shared" si="17"/>
        <v>141</v>
      </c>
      <c r="M103" s="39">
        <v>68</v>
      </c>
      <c r="N103" s="159">
        <f t="shared" si="20"/>
        <v>141</v>
      </c>
      <c r="O103" s="38">
        <f t="shared" si="21"/>
        <v>1.5</v>
      </c>
      <c r="Q103" s="3">
        <v>68</v>
      </c>
      <c r="R103" s="39">
        <v>141</v>
      </c>
      <c r="S103" s="2">
        <f t="shared" si="18"/>
        <v>68</v>
      </c>
      <c r="T103" s="38">
        <v>1.5</v>
      </c>
      <c r="U103" s="160">
        <f t="shared" si="19"/>
        <v>564</v>
      </c>
    </row>
    <row r="104" spans="12:21" x14ac:dyDescent="0.25">
      <c r="L104" s="5">
        <f t="shared" si="17"/>
        <v>142</v>
      </c>
      <c r="M104" s="39">
        <v>69</v>
      </c>
      <c r="N104" s="159">
        <f t="shared" si="20"/>
        <v>142</v>
      </c>
      <c r="O104" s="38">
        <f t="shared" si="21"/>
        <v>1</v>
      </c>
      <c r="Q104" s="3">
        <v>69</v>
      </c>
      <c r="R104" s="39">
        <v>142</v>
      </c>
      <c r="S104" s="2">
        <f t="shared" si="18"/>
        <v>69</v>
      </c>
      <c r="T104" s="38">
        <v>1</v>
      </c>
      <c r="U104" s="160">
        <f t="shared" si="19"/>
        <v>568</v>
      </c>
    </row>
    <row r="105" spans="12:21" x14ac:dyDescent="0.25">
      <c r="L105" s="5">
        <f t="shared" si="17"/>
        <v>143</v>
      </c>
      <c r="M105" s="39">
        <v>70</v>
      </c>
      <c r="N105" s="159">
        <f t="shared" si="20"/>
        <v>143</v>
      </c>
      <c r="O105" s="38">
        <f t="shared" si="21"/>
        <v>1</v>
      </c>
      <c r="Q105" s="3">
        <v>70</v>
      </c>
      <c r="R105" s="39">
        <v>143</v>
      </c>
      <c r="S105" s="2">
        <f t="shared" si="18"/>
        <v>70</v>
      </c>
      <c r="T105" s="38">
        <v>1</v>
      </c>
      <c r="U105" s="160">
        <f t="shared" si="19"/>
        <v>572</v>
      </c>
    </row>
    <row r="106" spans="12:21" x14ac:dyDescent="0.25">
      <c r="L106" s="5">
        <f t="shared" si="17"/>
        <v>144</v>
      </c>
      <c r="M106" s="39">
        <v>71</v>
      </c>
      <c r="N106" s="159">
        <f t="shared" si="20"/>
        <v>144</v>
      </c>
      <c r="O106" s="38">
        <f t="shared" si="21"/>
        <v>1</v>
      </c>
      <c r="Q106" s="3">
        <v>71</v>
      </c>
      <c r="R106" s="39">
        <v>144</v>
      </c>
      <c r="S106" s="2">
        <f t="shared" si="18"/>
        <v>71</v>
      </c>
      <c r="T106" s="38">
        <v>1</v>
      </c>
      <c r="U106" s="160">
        <f t="shared" si="19"/>
        <v>576</v>
      </c>
    </row>
    <row r="107" spans="12:21" x14ac:dyDescent="0.25">
      <c r="L107" s="5">
        <f t="shared" si="17"/>
        <v>145</v>
      </c>
      <c r="M107" s="39">
        <v>72</v>
      </c>
      <c r="N107" s="159">
        <f t="shared" si="20"/>
        <v>145</v>
      </c>
      <c r="O107" s="38">
        <f t="shared" si="21"/>
        <v>1</v>
      </c>
      <c r="Q107" s="3">
        <v>72</v>
      </c>
      <c r="R107" s="39">
        <v>145</v>
      </c>
      <c r="S107" s="2">
        <f t="shared" si="18"/>
        <v>72</v>
      </c>
      <c r="T107" s="38">
        <v>1</v>
      </c>
      <c r="U107" s="160">
        <f t="shared" si="19"/>
        <v>580</v>
      </c>
    </row>
    <row r="108" spans="12:21" x14ac:dyDescent="0.25">
      <c r="L108" s="5">
        <f t="shared" si="17"/>
        <v>146</v>
      </c>
      <c r="M108" s="39">
        <v>73</v>
      </c>
      <c r="N108" s="159">
        <f t="shared" si="20"/>
        <v>146</v>
      </c>
      <c r="O108" s="38">
        <f t="shared" si="21"/>
        <v>1</v>
      </c>
      <c r="Q108" s="3">
        <v>73</v>
      </c>
      <c r="R108" s="39">
        <v>146</v>
      </c>
      <c r="S108" s="2">
        <f t="shared" si="18"/>
        <v>73</v>
      </c>
      <c r="T108" s="38">
        <v>1</v>
      </c>
      <c r="U108" s="160">
        <f t="shared" si="19"/>
        <v>584</v>
      </c>
    </row>
    <row r="109" spans="12:21" x14ac:dyDescent="0.25">
      <c r="L109" s="5">
        <f t="shared" si="17"/>
        <v>147</v>
      </c>
      <c r="M109" s="39">
        <v>74</v>
      </c>
      <c r="N109" s="159">
        <f t="shared" si="20"/>
        <v>147</v>
      </c>
      <c r="O109" s="38">
        <f t="shared" si="21"/>
        <v>1</v>
      </c>
      <c r="Q109" s="3">
        <v>74</v>
      </c>
      <c r="R109" s="39">
        <v>147</v>
      </c>
      <c r="S109" s="2">
        <f t="shared" si="18"/>
        <v>74</v>
      </c>
      <c r="T109" s="38">
        <v>1</v>
      </c>
      <c r="U109" s="160">
        <f t="shared" si="19"/>
        <v>588</v>
      </c>
    </row>
    <row r="110" spans="12:21" x14ac:dyDescent="0.25">
      <c r="L110" s="5">
        <f t="shared" si="17"/>
        <v>148</v>
      </c>
      <c r="M110" s="39">
        <v>75</v>
      </c>
      <c r="N110" s="159">
        <f t="shared" si="20"/>
        <v>148</v>
      </c>
      <c r="O110" s="38">
        <f t="shared" si="21"/>
        <v>1</v>
      </c>
      <c r="Q110" s="3">
        <v>75</v>
      </c>
      <c r="R110" s="39">
        <v>148</v>
      </c>
      <c r="S110" s="2">
        <f t="shared" si="18"/>
        <v>75</v>
      </c>
      <c r="T110" s="38">
        <v>1</v>
      </c>
      <c r="U110" s="160">
        <f t="shared" si="19"/>
        <v>592</v>
      </c>
    </row>
    <row r="111" spans="12:21" x14ac:dyDescent="0.25">
      <c r="L111" s="5">
        <f t="shared" si="17"/>
        <v>149.5</v>
      </c>
      <c r="M111" s="39">
        <v>76</v>
      </c>
      <c r="N111" s="159">
        <f t="shared" si="20"/>
        <v>149.5</v>
      </c>
      <c r="O111" s="38">
        <f t="shared" si="21"/>
        <v>1.5</v>
      </c>
      <c r="Q111" s="3">
        <v>76</v>
      </c>
      <c r="R111" s="39">
        <v>149.5</v>
      </c>
      <c r="S111" s="2">
        <f t="shared" si="18"/>
        <v>76</v>
      </c>
      <c r="T111" s="38">
        <v>1.5</v>
      </c>
      <c r="U111" s="160">
        <f t="shared" si="19"/>
        <v>598</v>
      </c>
    </row>
    <row r="112" spans="12:21" x14ac:dyDescent="0.25">
      <c r="L112" s="5">
        <f t="shared" si="17"/>
        <v>150.5</v>
      </c>
      <c r="M112" s="39">
        <v>77</v>
      </c>
      <c r="N112" s="159">
        <f t="shared" si="20"/>
        <v>150.5</v>
      </c>
      <c r="O112" s="38">
        <f t="shared" si="21"/>
        <v>1</v>
      </c>
      <c r="Q112" s="3">
        <v>77</v>
      </c>
      <c r="R112" s="39">
        <v>150.5</v>
      </c>
      <c r="S112" s="2">
        <f t="shared" si="18"/>
        <v>77</v>
      </c>
      <c r="T112" s="38">
        <v>1</v>
      </c>
      <c r="U112" s="160">
        <f t="shared" si="19"/>
        <v>602</v>
      </c>
    </row>
    <row r="113" spans="12:21" x14ac:dyDescent="0.25">
      <c r="L113" s="5">
        <f t="shared" si="17"/>
        <v>151.5</v>
      </c>
      <c r="M113" s="39">
        <v>78</v>
      </c>
      <c r="N113" s="159">
        <f t="shared" si="20"/>
        <v>151.5</v>
      </c>
      <c r="O113" s="38">
        <f t="shared" si="21"/>
        <v>1</v>
      </c>
      <c r="Q113" s="3">
        <v>78</v>
      </c>
      <c r="R113" s="39">
        <v>151.5</v>
      </c>
      <c r="S113" s="2">
        <f t="shared" si="18"/>
        <v>78</v>
      </c>
      <c r="T113" s="38">
        <v>1</v>
      </c>
      <c r="U113" s="160">
        <f t="shared" si="19"/>
        <v>606</v>
      </c>
    </row>
    <row r="114" spans="12:21" x14ac:dyDescent="0.25">
      <c r="L114" s="5">
        <f t="shared" si="17"/>
        <v>152.5</v>
      </c>
      <c r="M114" s="39">
        <v>79</v>
      </c>
      <c r="N114" s="159">
        <f t="shared" si="20"/>
        <v>152.5</v>
      </c>
      <c r="O114" s="38">
        <f t="shared" si="21"/>
        <v>1</v>
      </c>
      <c r="Q114" s="3">
        <v>79</v>
      </c>
      <c r="R114" s="39">
        <v>152.5</v>
      </c>
      <c r="S114" s="2">
        <f t="shared" si="18"/>
        <v>79</v>
      </c>
      <c r="T114" s="38">
        <v>1</v>
      </c>
      <c r="U114" s="160">
        <f t="shared" si="19"/>
        <v>610</v>
      </c>
    </row>
    <row r="115" spans="12:21" x14ac:dyDescent="0.25">
      <c r="L115" s="5">
        <f t="shared" si="17"/>
        <v>153.5</v>
      </c>
      <c r="M115" s="39">
        <v>80</v>
      </c>
      <c r="N115" s="159">
        <f t="shared" si="20"/>
        <v>153.5</v>
      </c>
      <c r="O115" s="38">
        <f t="shared" si="21"/>
        <v>1</v>
      </c>
      <c r="Q115" s="3">
        <v>80</v>
      </c>
      <c r="R115" s="39">
        <v>153.5</v>
      </c>
      <c r="S115" s="2">
        <f t="shared" si="18"/>
        <v>80</v>
      </c>
      <c r="T115" s="38">
        <v>1</v>
      </c>
      <c r="U115" s="160">
        <f t="shared" si="19"/>
        <v>614</v>
      </c>
    </row>
    <row r="116" spans="12:21" x14ac:dyDescent="0.25">
      <c r="L116" s="5">
        <f t="shared" si="17"/>
        <v>154.5</v>
      </c>
      <c r="M116" s="39">
        <v>81</v>
      </c>
      <c r="N116" s="159">
        <f t="shared" si="20"/>
        <v>154.5</v>
      </c>
      <c r="O116" s="38">
        <f t="shared" si="21"/>
        <v>1</v>
      </c>
      <c r="Q116" s="3">
        <v>81</v>
      </c>
      <c r="R116" s="39">
        <v>154.5</v>
      </c>
      <c r="S116" s="2">
        <f t="shared" si="18"/>
        <v>81</v>
      </c>
      <c r="T116" s="38">
        <v>1</v>
      </c>
      <c r="U116" s="160">
        <f t="shared" si="19"/>
        <v>618</v>
      </c>
    </row>
    <row r="117" spans="12:21" x14ac:dyDescent="0.25">
      <c r="L117" s="5">
        <f t="shared" si="17"/>
        <v>155.5</v>
      </c>
      <c r="M117" s="39">
        <v>82</v>
      </c>
      <c r="N117" s="159">
        <f t="shared" si="20"/>
        <v>155.5</v>
      </c>
      <c r="O117" s="38">
        <f t="shared" si="21"/>
        <v>1</v>
      </c>
      <c r="Q117" s="3">
        <v>82</v>
      </c>
      <c r="R117" s="39">
        <v>155.5</v>
      </c>
      <c r="S117" s="2">
        <f t="shared" si="18"/>
        <v>82</v>
      </c>
      <c r="T117" s="38">
        <v>1</v>
      </c>
      <c r="U117" s="160">
        <f t="shared" si="19"/>
        <v>622</v>
      </c>
    </row>
    <row r="118" spans="12:21" x14ac:dyDescent="0.25">
      <c r="L118" s="5">
        <f t="shared" si="17"/>
        <v>156.5</v>
      </c>
      <c r="M118" s="39">
        <v>83</v>
      </c>
      <c r="N118" s="159">
        <f t="shared" si="20"/>
        <v>156.5</v>
      </c>
      <c r="O118" s="38">
        <f t="shared" si="21"/>
        <v>1</v>
      </c>
      <c r="Q118" s="3">
        <v>83</v>
      </c>
      <c r="R118" s="39">
        <v>156.5</v>
      </c>
      <c r="S118" s="2">
        <f t="shared" si="18"/>
        <v>83</v>
      </c>
      <c r="T118" s="38">
        <v>1</v>
      </c>
      <c r="U118" s="160">
        <f t="shared" si="19"/>
        <v>626</v>
      </c>
    </row>
    <row r="119" spans="12:21" x14ac:dyDescent="0.25">
      <c r="L119" s="5">
        <f t="shared" si="17"/>
        <v>157.5</v>
      </c>
      <c r="M119" s="39">
        <v>84</v>
      </c>
      <c r="N119" s="159">
        <f t="shared" si="20"/>
        <v>157.5</v>
      </c>
      <c r="O119" s="38">
        <f t="shared" si="21"/>
        <v>1</v>
      </c>
      <c r="Q119" s="3">
        <v>84</v>
      </c>
      <c r="R119" s="39">
        <v>157.5</v>
      </c>
      <c r="S119" s="2">
        <f t="shared" si="18"/>
        <v>84</v>
      </c>
      <c r="T119" s="38">
        <v>1</v>
      </c>
      <c r="U119" s="160">
        <f t="shared" si="19"/>
        <v>630</v>
      </c>
    </row>
    <row r="120" spans="12:21" x14ac:dyDescent="0.25">
      <c r="L120" s="5">
        <f t="shared" si="17"/>
        <v>158</v>
      </c>
      <c r="M120" s="39">
        <v>85</v>
      </c>
      <c r="N120" s="159">
        <f t="shared" si="20"/>
        <v>158</v>
      </c>
      <c r="O120" s="38">
        <f t="shared" si="21"/>
        <v>0.5</v>
      </c>
      <c r="Q120" s="3">
        <v>85</v>
      </c>
      <c r="R120" s="39">
        <v>158</v>
      </c>
      <c r="S120" s="2">
        <f t="shared" si="18"/>
        <v>85</v>
      </c>
      <c r="T120" s="38">
        <v>0.5</v>
      </c>
      <c r="U120" s="160">
        <f t="shared" si="19"/>
        <v>632</v>
      </c>
    </row>
    <row r="121" spans="12:21" x14ac:dyDescent="0.25">
      <c r="L121" s="5">
        <f t="shared" si="17"/>
        <v>159</v>
      </c>
      <c r="M121" s="39">
        <v>86</v>
      </c>
      <c r="N121" s="159">
        <f t="shared" si="20"/>
        <v>159</v>
      </c>
      <c r="O121" s="38">
        <f t="shared" si="21"/>
        <v>1</v>
      </c>
      <c r="Q121" s="3">
        <v>86</v>
      </c>
      <c r="R121" s="39">
        <v>159</v>
      </c>
      <c r="S121" s="2">
        <f t="shared" si="18"/>
        <v>86</v>
      </c>
      <c r="T121" s="38">
        <v>1</v>
      </c>
      <c r="U121" s="160">
        <f t="shared" si="19"/>
        <v>636</v>
      </c>
    </row>
    <row r="122" spans="12:21" x14ac:dyDescent="0.25">
      <c r="L122" s="5">
        <f t="shared" si="17"/>
        <v>160</v>
      </c>
      <c r="M122" s="39">
        <v>87</v>
      </c>
      <c r="N122" s="159">
        <f t="shared" si="20"/>
        <v>160</v>
      </c>
      <c r="O122" s="38">
        <f t="shared" si="21"/>
        <v>1</v>
      </c>
      <c r="Q122" s="3">
        <v>87</v>
      </c>
      <c r="R122" s="39">
        <v>160</v>
      </c>
      <c r="S122" s="2">
        <f t="shared" si="18"/>
        <v>87</v>
      </c>
      <c r="T122" s="38">
        <v>1</v>
      </c>
      <c r="U122" s="160">
        <f t="shared" si="19"/>
        <v>640</v>
      </c>
    </row>
    <row r="123" spans="12:21" x14ac:dyDescent="0.25">
      <c r="L123" s="5">
        <f t="shared" si="17"/>
        <v>161.25</v>
      </c>
      <c r="M123" s="39">
        <v>88</v>
      </c>
      <c r="N123" s="159">
        <f t="shared" si="20"/>
        <v>161.25</v>
      </c>
      <c r="O123" s="38">
        <f t="shared" si="21"/>
        <v>1.25</v>
      </c>
      <c r="Q123" s="3">
        <v>88</v>
      </c>
      <c r="R123" s="39">
        <v>161.25</v>
      </c>
      <c r="S123" s="2">
        <f t="shared" si="18"/>
        <v>88</v>
      </c>
      <c r="T123" s="38">
        <v>1.25</v>
      </c>
      <c r="U123" s="160">
        <f t="shared" si="19"/>
        <v>645</v>
      </c>
    </row>
    <row r="124" spans="12:21" x14ac:dyDescent="0.25">
      <c r="L124" s="5">
        <f t="shared" si="17"/>
        <v>162.25</v>
      </c>
      <c r="M124" s="39">
        <v>89</v>
      </c>
      <c r="N124" s="159">
        <f t="shared" si="20"/>
        <v>162.25</v>
      </c>
      <c r="O124" s="38">
        <f t="shared" si="21"/>
        <v>1</v>
      </c>
      <c r="Q124" s="3">
        <v>89</v>
      </c>
      <c r="R124" s="39">
        <v>162.25</v>
      </c>
      <c r="S124" s="2">
        <f t="shared" si="18"/>
        <v>89</v>
      </c>
      <c r="T124" s="38">
        <v>1</v>
      </c>
      <c r="U124" s="160">
        <f t="shared" si="19"/>
        <v>649</v>
      </c>
    </row>
    <row r="125" spans="12:21" x14ac:dyDescent="0.25">
      <c r="L125" s="5">
        <f t="shared" si="17"/>
        <v>163.25</v>
      </c>
      <c r="M125" s="39">
        <v>90</v>
      </c>
      <c r="N125" s="159">
        <f t="shared" si="20"/>
        <v>163.25</v>
      </c>
      <c r="O125" s="38">
        <f t="shared" si="21"/>
        <v>1</v>
      </c>
      <c r="Q125" s="3">
        <v>90</v>
      </c>
      <c r="R125" s="39">
        <v>163.25</v>
      </c>
      <c r="S125" s="2">
        <f t="shared" si="18"/>
        <v>90</v>
      </c>
      <c r="T125" s="38">
        <v>1</v>
      </c>
      <c r="U125" s="160">
        <f t="shared" si="19"/>
        <v>653</v>
      </c>
    </row>
    <row r="126" spans="12:21" x14ac:dyDescent="0.25">
      <c r="L126" s="5">
        <f t="shared" si="17"/>
        <v>164.25</v>
      </c>
      <c r="M126" s="39">
        <v>91</v>
      </c>
      <c r="N126" s="159">
        <f t="shared" si="20"/>
        <v>164.25</v>
      </c>
      <c r="O126" s="38">
        <f t="shared" si="21"/>
        <v>1</v>
      </c>
      <c r="Q126" s="3">
        <v>91</v>
      </c>
      <c r="R126" s="39">
        <v>164.25</v>
      </c>
      <c r="S126" s="2">
        <f>Q126</f>
        <v>91</v>
      </c>
      <c r="T126" s="38">
        <v>1</v>
      </c>
      <c r="U126" s="160">
        <f t="shared" si="19"/>
        <v>657</v>
      </c>
    </row>
    <row r="127" spans="12:21" x14ac:dyDescent="0.25">
      <c r="L127" s="5">
        <f t="shared" si="17"/>
        <v>165.25</v>
      </c>
      <c r="M127" s="39">
        <v>92</v>
      </c>
      <c r="N127" s="159">
        <f t="shared" si="20"/>
        <v>165.25</v>
      </c>
      <c r="O127" s="38">
        <f t="shared" si="21"/>
        <v>1</v>
      </c>
      <c r="Q127" s="3">
        <v>92</v>
      </c>
      <c r="R127" s="39">
        <v>165.25</v>
      </c>
      <c r="S127" s="2">
        <f t="shared" si="18"/>
        <v>92</v>
      </c>
      <c r="T127" s="38">
        <v>1</v>
      </c>
      <c r="U127" s="160">
        <f t="shared" si="19"/>
        <v>661</v>
      </c>
    </row>
    <row r="128" spans="12:21" x14ac:dyDescent="0.25">
      <c r="L128" s="5">
        <f t="shared" si="17"/>
        <v>166.25</v>
      </c>
      <c r="M128" s="39">
        <v>93</v>
      </c>
      <c r="N128" s="159">
        <f t="shared" si="20"/>
        <v>166.25</v>
      </c>
      <c r="O128" s="38">
        <f t="shared" si="21"/>
        <v>1</v>
      </c>
      <c r="Q128" s="3">
        <v>93</v>
      </c>
      <c r="R128" s="39">
        <v>166.25</v>
      </c>
      <c r="S128" s="2">
        <f t="shared" si="18"/>
        <v>93</v>
      </c>
      <c r="T128" s="38">
        <v>1</v>
      </c>
      <c r="U128" s="160">
        <f t="shared" si="19"/>
        <v>665</v>
      </c>
    </row>
    <row r="129" spans="12:21" x14ac:dyDescent="0.25">
      <c r="L129" s="5">
        <f t="shared" si="17"/>
        <v>167.25</v>
      </c>
      <c r="M129" s="39">
        <v>94</v>
      </c>
      <c r="N129" s="159">
        <f t="shared" si="20"/>
        <v>167.25</v>
      </c>
      <c r="O129" s="38">
        <f t="shared" si="21"/>
        <v>1</v>
      </c>
      <c r="Q129" s="3">
        <v>94</v>
      </c>
      <c r="R129" s="39">
        <v>167.25</v>
      </c>
      <c r="S129" s="2">
        <f t="shared" si="18"/>
        <v>94</v>
      </c>
      <c r="T129" s="38">
        <v>1</v>
      </c>
      <c r="U129" s="160">
        <f t="shared" si="19"/>
        <v>669</v>
      </c>
    </row>
    <row r="130" spans="12:21" x14ac:dyDescent="0.25">
      <c r="L130" s="5">
        <f t="shared" si="17"/>
        <v>168</v>
      </c>
      <c r="M130" s="39">
        <v>95</v>
      </c>
      <c r="N130" s="159">
        <f t="shared" si="20"/>
        <v>168</v>
      </c>
      <c r="O130" s="38">
        <f t="shared" si="21"/>
        <v>0.75</v>
      </c>
      <c r="Q130" s="3">
        <v>95</v>
      </c>
      <c r="R130" s="39">
        <v>168</v>
      </c>
      <c r="S130" s="2">
        <f t="shared" si="18"/>
        <v>95</v>
      </c>
      <c r="T130" s="38">
        <v>0.75</v>
      </c>
      <c r="U130" s="160">
        <f t="shared" si="19"/>
        <v>672</v>
      </c>
    </row>
    <row r="131" spans="12:21" x14ac:dyDescent="0.25">
      <c r="L131" s="5">
        <f t="shared" si="17"/>
        <v>168.75</v>
      </c>
      <c r="M131" s="39">
        <v>96</v>
      </c>
      <c r="N131" s="159">
        <f t="shared" si="20"/>
        <v>168.75</v>
      </c>
      <c r="O131" s="38">
        <f t="shared" si="21"/>
        <v>0.75</v>
      </c>
      <c r="Q131" s="3">
        <v>96</v>
      </c>
      <c r="R131" s="39">
        <v>168.75</v>
      </c>
      <c r="S131" s="2">
        <f t="shared" si="18"/>
        <v>96</v>
      </c>
      <c r="T131" s="38">
        <v>0.75</v>
      </c>
      <c r="U131" s="160">
        <f t="shared" si="19"/>
        <v>675</v>
      </c>
    </row>
    <row r="132" spans="12:21" x14ac:dyDescent="0.25">
      <c r="L132" s="5">
        <f t="shared" si="17"/>
        <v>169.75</v>
      </c>
      <c r="M132" s="39">
        <v>97</v>
      </c>
      <c r="N132" s="159">
        <f t="shared" si="20"/>
        <v>169.75</v>
      </c>
      <c r="O132" s="38">
        <f t="shared" si="21"/>
        <v>1</v>
      </c>
      <c r="Q132" s="3">
        <v>97</v>
      </c>
      <c r="R132" s="39">
        <v>169.75</v>
      </c>
      <c r="S132" s="2">
        <f t="shared" si="18"/>
        <v>97</v>
      </c>
      <c r="T132" s="38">
        <v>1</v>
      </c>
      <c r="U132" s="160">
        <f t="shared" si="19"/>
        <v>679</v>
      </c>
    </row>
    <row r="133" spans="12:21" x14ac:dyDescent="0.25">
      <c r="L133" s="5">
        <f t="shared" si="17"/>
        <v>170.25</v>
      </c>
      <c r="M133" s="39">
        <v>98</v>
      </c>
      <c r="N133" s="159">
        <f t="shared" si="20"/>
        <v>170.25</v>
      </c>
      <c r="O133" s="38">
        <f t="shared" si="21"/>
        <v>0.5</v>
      </c>
      <c r="Q133" s="3">
        <v>98</v>
      </c>
      <c r="R133" s="39">
        <v>170.25</v>
      </c>
      <c r="S133" s="2">
        <f t="shared" si="18"/>
        <v>98</v>
      </c>
      <c r="T133" s="38">
        <v>0.5</v>
      </c>
      <c r="U133" s="160">
        <f t="shared" si="19"/>
        <v>681</v>
      </c>
    </row>
    <row r="134" spans="12:21" x14ac:dyDescent="0.25">
      <c r="L134" s="5">
        <f t="shared" si="17"/>
        <v>171.25</v>
      </c>
      <c r="M134" s="39">
        <v>99</v>
      </c>
      <c r="N134" s="159">
        <f t="shared" si="20"/>
        <v>171.25</v>
      </c>
      <c r="O134" s="38">
        <f t="shared" si="21"/>
        <v>1</v>
      </c>
      <c r="Q134" s="3">
        <v>99</v>
      </c>
      <c r="R134" s="39">
        <v>171.25</v>
      </c>
      <c r="S134" s="2">
        <f t="shared" si="18"/>
        <v>99</v>
      </c>
      <c r="T134" s="38">
        <v>1</v>
      </c>
      <c r="U134" s="160">
        <f t="shared" si="19"/>
        <v>685</v>
      </c>
    </row>
    <row r="135" spans="12:21" x14ac:dyDescent="0.25">
      <c r="L135" s="5">
        <f t="shared" si="17"/>
        <v>172</v>
      </c>
      <c r="M135" s="39">
        <v>100</v>
      </c>
      <c r="N135" s="159">
        <f t="shared" si="20"/>
        <v>172</v>
      </c>
      <c r="O135" s="38">
        <f t="shared" si="21"/>
        <v>0.75</v>
      </c>
      <c r="Q135" s="3">
        <v>100</v>
      </c>
      <c r="R135" s="39">
        <v>172</v>
      </c>
      <c r="S135" s="2">
        <f t="shared" si="18"/>
        <v>100</v>
      </c>
      <c r="T135" s="38">
        <v>0.75</v>
      </c>
      <c r="U135" s="160">
        <f t="shared" si="19"/>
        <v>688</v>
      </c>
    </row>
    <row r="136" spans="12:21" x14ac:dyDescent="0.25">
      <c r="L136" s="5">
        <f t="shared" si="17"/>
        <v>172.75</v>
      </c>
      <c r="M136" s="39">
        <v>101</v>
      </c>
      <c r="N136" s="159">
        <f t="shared" si="20"/>
        <v>172.75</v>
      </c>
      <c r="O136" s="38">
        <f t="shared" si="21"/>
        <v>0.75</v>
      </c>
      <c r="Q136" s="3">
        <v>101</v>
      </c>
      <c r="R136" s="39">
        <v>172.75</v>
      </c>
      <c r="S136" s="2">
        <f t="shared" si="18"/>
        <v>101</v>
      </c>
      <c r="T136" s="38">
        <v>0.75</v>
      </c>
      <c r="U136" s="160">
        <f t="shared" si="19"/>
        <v>691</v>
      </c>
    </row>
    <row r="137" spans="12:21" x14ac:dyDescent="0.25">
      <c r="L137" s="5">
        <f t="shared" si="17"/>
        <v>173.75</v>
      </c>
      <c r="M137" s="39">
        <v>102</v>
      </c>
      <c r="N137" s="159">
        <f t="shared" si="20"/>
        <v>173.75</v>
      </c>
      <c r="O137" s="38">
        <f t="shared" si="21"/>
        <v>1</v>
      </c>
      <c r="Q137" s="3">
        <v>102</v>
      </c>
      <c r="R137" s="39">
        <v>173.75</v>
      </c>
      <c r="S137" s="2">
        <f t="shared" si="18"/>
        <v>102</v>
      </c>
      <c r="T137" s="38">
        <v>1</v>
      </c>
      <c r="U137" s="160">
        <f t="shared" si="19"/>
        <v>695</v>
      </c>
    </row>
    <row r="138" spans="12:21" x14ac:dyDescent="0.25">
      <c r="L138" s="5">
        <f t="shared" si="17"/>
        <v>174.75</v>
      </c>
      <c r="M138" s="39">
        <v>103</v>
      </c>
      <c r="N138" s="159">
        <f t="shared" si="20"/>
        <v>174.75</v>
      </c>
      <c r="O138" s="38">
        <f t="shared" si="21"/>
        <v>1</v>
      </c>
      <c r="Q138" s="3">
        <v>103</v>
      </c>
      <c r="R138" s="39">
        <v>174.75</v>
      </c>
      <c r="S138" s="2">
        <f t="shared" si="18"/>
        <v>103</v>
      </c>
      <c r="T138" s="38">
        <v>1</v>
      </c>
      <c r="U138" s="160">
        <f t="shared" si="19"/>
        <v>699</v>
      </c>
    </row>
    <row r="139" spans="12:21" x14ac:dyDescent="0.25">
      <c r="L139" s="5">
        <f t="shared" si="17"/>
        <v>175.25</v>
      </c>
      <c r="M139" s="39">
        <v>104</v>
      </c>
      <c r="N139" s="159">
        <f t="shared" si="20"/>
        <v>175.25</v>
      </c>
      <c r="O139" s="38">
        <f t="shared" si="21"/>
        <v>0.5</v>
      </c>
      <c r="Q139" s="3">
        <v>104</v>
      </c>
      <c r="R139" s="39">
        <v>175.25</v>
      </c>
      <c r="S139" s="2">
        <f t="shared" si="18"/>
        <v>104</v>
      </c>
      <c r="T139" s="38">
        <v>0.5</v>
      </c>
      <c r="U139" s="160">
        <f t="shared" si="19"/>
        <v>701</v>
      </c>
    </row>
    <row r="140" spans="12:21" x14ac:dyDescent="0.25">
      <c r="L140" s="5">
        <f t="shared" si="17"/>
        <v>176</v>
      </c>
      <c r="M140" s="39">
        <v>105</v>
      </c>
      <c r="N140" s="159">
        <f t="shared" si="20"/>
        <v>176</v>
      </c>
      <c r="O140" s="38">
        <f t="shared" si="21"/>
        <v>0.75</v>
      </c>
      <c r="Q140" s="3">
        <v>105</v>
      </c>
      <c r="R140" s="39">
        <v>176</v>
      </c>
      <c r="S140" s="2">
        <f t="shared" si="18"/>
        <v>105</v>
      </c>
      <c r="T140" s="38">
        <v>0.75</v>
      </c>
      <c r="U140" s="160">
        <f t="shared" si="19"/>
        <v>704</v>
      </c>
    </row>
    <row r="141" spans="12:21" x14ac:dyDescent="0.25">
      <c r="L141" s="5">
        <f t="shared" si="17"/>
        <v>176.75</v>
      </c>
      <c r="M141" s="39">
        <v>106</v>
      </c>
      <c r="N141" s="159">
        <f t="shared" si="20"/>
        <v>176.75</v>
      </c>
      <c r="O141" s="38">
        <f t="shared" si="21"/>
        <v>0.75</v>
      </c>
      <c r="Q141" s="3">
        <v>106</v>
      </c>
      <c r="R141" s="39">
        <v>176.75</v>
      </c>
      <c r="S141" s="2">
        <f t="shared" si="18"/>
        <v>106</v>
      </c>
      <c r="T141" s="38">
        <v>0.75</v>
      </c>
      <c r="U141" s="160">
        <f t="shared" si="19"/>
        <v>707</v>
      </c>
    </row>
    <row r="142" spans="12:21" x14ac:dyDescent="0.25">
      <c r="L142" s="5">
        <f t="shared" si="17"/>
        <v>177.75</v>
      </c>
      <c r="M142" s="39">
        <v>107</v>
      </c>
      <c r="N142" s="159">
        <f t="shared" si="20"/>
        <v>177.75</v>
      </c>
      <c r="O142" s="38">
        <f t="shared" si="21"/>
        <v>1</v>
      </c>
      <c r="Q142" s="3">
        <v>107</v>
      </c>
      <c r="R142" s="39">
        <v>177.75</v>
      </c>
      <c r="S142" s="2">
        <f t="shared" si="18"/>
        <v>107</v>
      </c>
      <c r="T142" s="38">
        <v>1</v>
      </c>
      <c r="U142" s="160">
        <f t="shared" si="19"/>
        <v>711</v>
      </c>
    </row>
    <row r="143" spans="12:21" x14ac:dyDescent="0.25">
      <c r="L143" s="5">
        <f t="shared" si="17"/>
        <v>178.25</v>
      </c>
      <c r="M143" s="39">
        <v>108</v>
      </c>
      <c r="N143" s="159">
        <f t="shared" si="20"/>
        <v>178.25</v>
      </c>
      <c r="O143" s="38">
        <f t="shared" si="21"/>
        <v>0.5</v>
      </c>
      <c r="Q143" s="3">
        <v>108</v>
      </c>
      <c r="R143" s="39">
        <v>178.25</v>
      </c>
      <c r="S143" s="2">
        <f t="shared" si="18"/>
        <v>108</v>
      </c>
      <c r="T143" s="38">
        <v>0.5</v>
      </c>
      <c r="U143" s="160">
        <f t="shared" si="19"/>
        <v>713</v>
      </c>
    </row>
    <row r="144" spans="12:21" x14ac:dyDescent="0.25">
      <c r="L144" s="5">
        <f t="shared" si="17"/>
        <v>179</v>
      </c>
      <c r="M144" s="39">
        <v>109</v>
      </c>
      <c r="N144" s="159">
        <f t="shared" si="20"/>
        <v>179</v>
      </c>
      <c r="O144" s="38">
        <f t="shared" si="21"/>
        <v>0.75</v>
      </c>
      <c r="Q144" s="3">
        <v>109</v>
      </c>
      <c r="R144" s="39">
        <v>179</v>
      </c>
      <c r="S144" s="2">
        <f t="shared" si="18"/>
        <v>109</v>
      </c>
      <c r="T144" s="38">
        <v>0.75</v>
      </c>
      <c r="U144" s="160">
        <f t="shared" si="19"/>
        <v>716</v>
      </c>
    </row>
    <row r="145" spans="12:21" x14ac:dyDescent="0.25">
      <c r="L145" s="5">
        <f t="shared" si="17"/>
        <v>179.75</v>
      </c>
      <c r="M145" s="39">
        <v>110</v>
      </c>
      <c r="N145" s="159">
        <f t="shared" si="20"/>
        <v>179.75</v>
      </c>
      <c r="O145" s="38">
        <f t="shared" si="21"/>
        <v>0.75</v>
      </c>
      <c r="Q145" s="3">
        <v>110</v>
      </c>
      <c r="R145" s="39">
        <v>179.75</v>
      </c>
      <c r="S145" s="2">
        <f t="shared" si="18"/>
        <v>110</v>
      </c>
      <c r="T145" s="38">
        <v>0.75</v>
      </c>
      <c r="U145" s="160">
        <f t="shared" si="19"/>
        <v>719</v>
      </c>
    </row>
    <row r="146" spans="12:21" x14ac:dyDescent="0.25">
      <c r="L146" s="5">
        <f t="shared" si="17"/>
        <v>180.75</v>
      </c>
      <c r="M146" s="39">
        <v>111</v>
      </c>
      <c r="N146" s="159">
        <f t="shared" si="20"/>
        <v>180.75</v>
      </c>
      <c r="O146" s="38">
        <f t="shared" si="21"/>
        <v>1</v>
      </c>
      <c r="Q146" s="3">
        <v>111</v>
      </c>
      <c r="R146" s="39">
        <v>180.75</v>
      </c>
      <c r="S146" s="2">
        <f t="shared" si="18"/>
        <v>111</v>
      </c>
      <c r="T146" s="38">
        <v>1</v>
      </c>
      <c r="U146" s="160">
        <f t="shared" si="19"/>
        <v>723</v>
      </c>
    </row>
    <row r="147" spans="12:21" x14ac:dyDescent="0.25">
      <c r="L147" s="5">
        <f t="shared" si="17"/>
        <v>181.25</v>
      </c>
      <c r="M147" s="39">
        <v>112</v>
      </c>
      <c r="N147" s="159">
        <f t="shared" si="20"/>
        <v>181.25</v>
      </c>
      <c r="O147" s="38">
        <f t="shared" si="21"/>
        <v>0.5</v>
      </c>
      <c r="Q147" s="3">
        <v>112</v>
      </c>
      <c r="R147" s="39">
        <v>181.25</v>
      </c>
      <c r="S147" s="2">
        <f t="shared" si="18"/>
        <v>112</v>
      </c>
      <c r="T147" s="38">
        <v>0.5</v>
      </c>
      <c r="U147" s="160">
        <f t="shared" si="19"/>
        <v>725</v>
      </c>
    </row>
    <row r="148" spans="12:21" x14ac:dyDescent="0.25">
      <c r="L148" s="5">
        <f t="shared" si="17"/>
        <v>182</v>
      </c>
      <c r="M148" s="39">
        <v>113</v>
      </c>
      <c r="N148" s="159">
        <f t="shared" si="20"/>
        <v>182</v>
      </c>
      <c r="O148" s="38">
        <f t="shared" si="21"/>
        <v>0.75</v>
      </c>
      <c r="Q148" s="3">
        <v>113</v>
      </c>
      <c r="R148" s="39">
        <v>182</v>
      </c>
      <c r="S148" s="2">
        <f t="shared" si="18"/>
        <v>113</v>
      </c>
      <c r="T148" s="38">
        <v>0.75</v>
      </c>
      <c r="U148" s="160">
        <f t="shared" si="19"/>
        <v>728</v>
      </c>
    </row>
    <row r="149" spans="12:21" x14ac:dyDescent="0.25">
      <c r="L149" s="5">
        <f t="shared" si="17"/>
        <v>182.75</v>
      </c>
      <c r="M149" s="39">
        <v>114</v>
      </c>
      <c r="N149" s="159">
        <f t="shared" si="20"/>
        <v>182.75</v>
      </c>
      <c r="O149" s="38">
        <f t="shared" si="21"/>
        <v>0.75</v>
      </c>
      <c r="Q149" s="3">
        <v>114</v>
      </c>
      <c r="R149" s="39">
        <v>182.75</v>
      </c>
      <c r="S149" s="2">
        <f t="shared" si="18"/>
        <v>114</v>
      </c>
      <c r="T149" s="38">
        <v>0.75</v>
      </c>
      <c r="U149" s="160">
        <f t="shared" si="19"/>
        <v>731</v>
      </c>
    </row>
    <row r="150" spans="12:21" x14ac:dyDescent="0.25">
      <c r="L150" s="5">
        <f t="shared" si="17"/>
        <v>183.75</v>
      </c>
      <c r="M150" s="39">
        <v>115</v>
      </c>
      <c r="N150" s="159">
        <f t="shared" si="20"/>
        <v>183.75</v>
      </c>
      <c r="O150" s="38">
        <f t="shared" si="21"/>
        <v>1</v>
      </c>
      <c r="Q150" s="3">
        <v>115</v>
      </c>
      <c r="R150" s="39">
        <v>183.75</v>
      </c>
      <c r="S150" s="2">
        <f t="shared" si="18"/>
        <v>115</v>
      </c>
      <c r="T150" s="38">
        <v>1</v>
      </c>
      <c r="U150" s="160">
        <f t="shared" si="19"/>
        <v>735</v>
      </c>
    </row>
    <row r="151" spans="12:21" x14ac:dyDescent="0.25">
      <c r="L151" s="5">
        <f t="shared" si="17"/>
        <v>184.25</v>
      </c>
      <c r="M151" s="39">
        <v>116</v>
      </c>
      <c r="N151" s="159">
        <f t="shared" si="20"/>
        <v>184.25</v>
      </c>
      <c r="O151" s="38">
        <f t="shared" si="21"/>
        <v>0.5</v>
      </c>
      <c r="Q151" s="3">
        <v>116</v>
      </c>
      <c r="R151" s="39">
        <v>184.25</v>
      </c>
      <c r="S151" s="2">
        <f t="shared" si="18"/>
        <v>116</v>
      </c>
      <c r="T151" s="38">
        <v>0.5</v>
      </c>
      <c r="U151" s="160">
        <f t="shared" si="19"/>
        <v>737</v>
      </c>
    </row>
    <row r="152" spans="12:21" x14ac:dyDescent="0.25">
      <c r="L152" s="5">
        <f t="shared" si="17"/>
        <v>185.25</v>
      </c>
      <c r="M152" s="39">
        <v>117</v>
      </c>
      <c r="N152" s="159">
        <f t="shared" si="20"/>
        <v>185.25</v>
      </c>
      <c r="O152" s="38">
        <f t="shared" si="21"/>
        <v>1</v>
      </c>
      <c r="Q152" s="3">
        <v>117</v>
      </c>
      <c r="R152" s="39">
        <v>185.25</v>
      </c>
      <c r="S152" s="2">
        <f t="shared" si="18"/>
        <v>117</v>
      </c>
      <c r="T152" s="38">
        <v>1</v>
      </c>
      <c r="U152" s="160">
        <f t="shared" si="19"/>
        <v>741</v>
      </c>
    </row>
    <row r="153" spans="12:21" x14ac:dyDescent="0.25">
      <c r="L153" s="5">
        <f t="shared" si="17"/>
        <v>186</v>
      </c>
      <c r="M153" s="39">
        <v>118</v>
      </c>
      <c r="N153" s="159">
        <f t="shared" si="20"/>
        <v>186</v>
      </c>
      <c r="O153" s="38">
        <f t="shared" si="21"/>
        <v>0.75</v>
      </c>
      <c r="Q153" s="3">
        <v>118</v>
      </c>
      <c r="R153" s="39">
        <v>186</v>
      </c>
      <c r="S153" s="2">
        <f t="shared" si="18"/>
        <v>118</v>
      </c>
      <c r="T153" s="38">
        <v>0.75</v>
      </c>
      <c r="U153" s="160">
        <f t="shared" si="19"/>
        <v>744</v>
      </c>
    </row>
    <row r="154" spans="12:21" x14ac:dyDescent="0.25">
      <c r="L154" s="5">
        <f t="shared" si="17"/>
        <v>186.75</v>
      </c>
      <c r="M154" s="39">
        <v>119</v>
      </c>
      <c r="N154" s="159">
        <f t="shared" si="20"/>
        <v>186.75</v>
      </c>
      <c r="O154" s="38">
        <f t="shared" si="21"/>
        <v>0.75</v>
      </c>
      <c r="Q154" s="3">
        <v>119</v>
      </c>
      <c r="R154" s="39">
        <v>186.75</v>
      </c>
      <c r="S154" s="2">
        <f t="shared" si="18"/>
        <v>119</v>
      </c>
      <c r="T154" s="38">
        <v>0.75</v>
      </c>
      <c r="U154" s="160">
        <f t="shared" si="19"/>
        <v>747</v>
      </c>
    </row>
    <row r="155" spans="12:21" x14ac:dyDescent="0.25">
      <c r="L155" s="5">
        <f t="shared" si="17"/>
        <v>187.25</v>
      </c>
      <c r="M155" s="39">
        <v>120</v>
      </c>
      <c r="N155" s="159">
        <f t="shared" si="20"/>
        <v>187.25</v>
      </c>
      <c r="O155" s="38">
        <f t="shared" si="21"/>
        <v>0.5</v>
      </c>
      <c r="Q155" s="3">
        <v>120</v>
      </c>
      <c r="R155" s="39">
        <v>187.25</v>
      </c>
      <c r="S155" s="2">
        <f t="shared" si="18"/>
        <v>120</v>
      </c>
      <c r="T155" s="38">
        <v>0.5</v>
      </c>
      <c r="U155" s="160">
        <f t="shared" si="19"/>
        <v>749</v>
      </c>
    </row>
    <row r="156" spans="12:21" x14ac:dyDescent="0.25">
      <c r="L156" s="5">
        <f t="shared" si="17"/>
        <v>188</v>
      </c>
      <c r="M156" s="39">
        <v>121</v>
      </c>
      <c r="N156" s="159">
        <f t="shared" si="20"/>
        <v>188</v>
      </c>
      <c r="O156" s="38">
        <f t="shared" si="21"/>
        <v>0.75</v>
      </c>
      <c r="Q156" s="3">
        <v>121</v>
      </c>
      <c r="R156" s="39">
        <v>188</v>
      </c>
      <c r="S156" s="2">
        <f t="shared" si="18"/>
        <v>121</v>
      </c>
      <c r="T156" s="38">
        <v>0.75</v>
      </c>
      <c r="U156" s="160">
        <f t="shared" si="19"/>
        <v>752</v>
      </c>
    </row>
    <row r="157" spans="12:21" x14ac:dyDescent="0.25">
      <c r="L157" s="5">
        <f t="shared" si="17"/>
        <v>188.75</v>
      </c>
      <c r="M157" s="39">
        <v>122</v>
      </c>
      <c r="N157" s="159">
        <f t="shared" si="20"/>
        <v>188.75</v>
      </c>
      <c r="O157" s="38">
        <f t="shared" si="21"/>
        <v>0.75</v>
      </c>
      <c r="Q157" s="3">
        <v>122</v>
      </c>
      <c r="R157" s="39">
        <v>188.75</v>
      </c>
      <c r="S157" s="2">
        <f t="shared" si="18"/>
        <v>122</v>
      </c>
      <c r="T157" s="38">
        <v>0.75</v>
      </c>
      <c r="U157" s="160">
        <f t="shared" si="19"/>
        <v>755</v>
      </c>
    </row>
    <row r="158" spans="12:21" x14ac:dyDescent="0.25">
      <c r="L158" s="5">
        <f t="shared" si="17"/>
        <v>189.25</v>
      </c>
      <c r="M158" s="39">
        <v>123</v>
      </c>
      <c r="N158" s="159">
        <f t="shared" si="20"/>
        <v>189.25</v>
      </c>
      <c r="O158" s="38">
        <f t="shared" si="21"/>
        <v>0.5</v>
      </c>
      <c r="Q158" s="3">
        <v>123</v>
      </c>
      <c r="R158" s="39">
        <v>189.25</v>
      </c>
      <c r="S158" s="2">
        <f t="shared" si="18"/>
        <v>123</v>
      </c>
      <c r="T158" s="38">
        <v>0.5</v>
      </c>
      <c r="U158" s="160">
        <f t="shared" si="19"/>
        <v>757</v>
      </c>
    </row>
    <row r="159" spans="12:21" x14ac:dyDescent="0.25">
      <c r="L159" s="5">
        <f t="shared" si="17"/>
        <v>190</v>
      </c>
      <c r="M159" s="39">
        <v>124</v>
      </c>
      <c r="N159" s="159">
        <f t="shared" si="20"/>
        <v>190</v>
      </c>
      <c r="O159" s="38">
        <f t="shared" si="21"/>
        <v>0.75</v>
      </c>
      <c r="Q159" s="3">
        <v>124</v>
      </c>
      <c r="R159" s="39">
        <v>190</v>
      </c>
      <c r="S159" s="2">
        <f t="shared" si="18"/>
        <v>124</v>
      </c>
      <c r="T159" s="38">
        <v>0.75</v>
      </c>
      <c r="U159" s="160">
        <f t="shared" si="19"/>
        <v>760</v>
      </c>
    </row>
    <row r="160" spans="12:21" x14ac:dyDescent="0.25">
      <c r="L160" s="5">
        <f t="shared" si="17"/>
        <v>190.75</v>
      </c>
      <c r="M160" s="39">
        <v>125</v>
      </c>
      <c r="N160" s="159">
        <f t="shared" si="20"/>
        <v>190.75</v>
      </c>
      <c r="O160" s="38">
        <f t="shared" si="21"/>
        <v>0.75</v>
      </c>
      <c r="Q160" s="3">
        <v>125</v>
      </c>
      <c r="R160" s="39">
        <v>190.75</v>
      </c>
      <c r="S160" s="2">
        <f t="shared" si="18"/>
        <v>125</v>
      </c>
      <c r="T160" s="38">
        <v>0.75</v>
      </c>
      <c r="U160" s="160">
        <f t="shared" si="19"/>
        <v>763</v>
      </c>
    </row>
    <row r="161" spans="12:21" x14ac:dyDescent="0.25">
      <c r="L161" s="5">
        <f t="shared" si="17"/>
        <v>191.25</v>
      </c>
      <c r="M161" s="39">
        <v>126</v>
      </c>
      <c r="N161" s="159">
        <f t="shared" si="20"/>
        <v>191.25</v>
      </c>
      <c r="O161" s="38">
        <f t="shared" si="21"/>
        <v>0.5</v>
      </c>
      <c r="Q161" s="3">
        <v>126</v>
      </c>
      <c r="R161" s="39">
        <v>191.25</v>
      </c>
      <c r="S161" s="2">
        <f t="shared" si="18"/>
        <v>126</v>
      </c>
      <c r="T161" s="38">
        <v>0.5</v>
      </c>
      <c r="U161" s="160">
        <f t="shared" si="19"/>
        <v>765</v>
      </c>
    </row>
    <row r="162" spans="12:21" x14ac:dyDescent="0.25">
      <c r="L162" s="5">
        <f t="shared" si="17"/>
        <v>192</v>
      </c>
      <c r="M162" s="39">
        <v>127</v>
      </c>
      <c r="N162" s="159">
        <f t="shared" si="20"/>
        <v>192</v>
      </c>
      <c r="O162" s="38">
        <f t="shared" si="21"/>
        <v>0.75</v>
      </c>
      <c r="Q162" s="3">
        <v>127</v>
      </c>
      <c r="R162" s="39">
        <v>192</v>
      </c>
      <c r="S162" s="2">
        <f t="shared" si="18"/>
        <v>127</v>
      </c>
      <c r="T162" s="38">
        <v>0.75</v>
      </c>
      <c r="U162" s="160">
        <f t="shared" si="19"/>
        <v>768</v>
      </c>
    </row>
    <row r="163" spans="12:21" x14ac:dyDescent="0.25">
      <c r="L163" s="5">
        <f t="shared" si="17"/>
        <v>192.75</v>
      </c>
      <c r="M163" s="39">
        <v>128</v>
      </c>
      <c r="N163" s="159">
        <f t="shared" si="20"/>
        <v>192.75</v>
      </c>
      <c r="O163" s="38">
        <f t="shared" si="21"/>
        <v>0.75</v>
      </c>
      <c r="Q163" s="3">
        <v>128</v>
      </c>
      <c r="R163" s="39">
        <v>192.75</v>
      </c>
      <c r="S163" s="2">
        <f t="shared" si="18"/>
        <v>128</v>
      </c>
      <c r="T163" s="38">
        <v>0.75</v>
      </c>
      <c r="U163" s="160">
        <f t="shared" si="19"/>
        <v>771</v>
      </c>
    </row>
    <row r="164" spans="12:21" x14ac:dyDescent="0.25">
      <c r="L164" s="5">
        <f t="shared" ref="L164:L227" si="22">N164</f>
        <v>193.25</v>
      </c>
      <c r="M164" s="39">
        <v>129</v>
      </c>
      <c r="N164" s="159">
        <f t="shared" si="20"/>
        <v>193.25</v>
      </c>
      <c r="O164" s="38">
        <f t="shared" si="21"/>
        <v>0.5</v>
      </c>
      <c r="Q164" s="3">
        <v>129</v>
      </c>
      <c r="R164" s="39">
        <v>193.25</v>
      </c>
      <c r="S164" s="2">
        <f t="shared" ref="S164:S227" si="23">Q164</f>
        <v>129</v>
      </c>
      <c r="T164" s="38">
        <v>0.5</v>
      </c>
      <c r="U164" s="160">
        <f t="shared" ref="U164:U227" si="24">R164*4</f>
        <v>773</v>
      </c>
    </row>
    <row r="165" spans="12:21" x14ac:dyDescent="0.25">
      <c r="L165" s="5">
        <f t="shared" si="22"/>
        <v>194</v>
      </c>
      <c r="M165" s="39">
        <v>130</v>
      </c>
      <c r="N165" s="159">
        <f t="shared" ref="N165:N228" si="25">VALUE(MID($S$2,FIND("*",SUBSTITUTE($S$2," ","*",M165),1)+1,FIND("*",SUBSTITUTE($S$2," ","*",M166),1)-FIND("*",SUBSTITUTE($S$2," ","*",M165),1)-1))/4</f>
        <v>194</v>
      </c>
      <c r="O165" s="38">
        <f t="shared" ref="O165:O228" si="26">N165-N164</f>
        <v>0.75</v>
      </c>
      <c r="Q165" s="3">
        <v>130</v>
      </c>
      <c r="R165" s="39">
        <v>194</v>
      </c>
      <c r="S165" s="2">
        <f t="shared" si="23"/>
        <v>130</v>
      </c>
      <c r="T165" s="38">
        <v>0.75</v>
      </c>
      <c r="U165" s="160">
        <f t="shared" si="24"/>
        <v>776</v>
      </c>
    </row>
    <row r="166" spans="12:21" x14ac:dyDescent="0.25">
      <c r="L166" s="5">
        <f t="shared" si="22"/>
        <v>194.75</v>
      </c>
      <c r="M166" s="39">
        <v>131</v>
      </c>
      <c r="N166" s="159">
        <f t="shared" si="25"/>
        <v>194.75</v>
      </c>
      <c r="O166" s="38">
        <f t="shared" si="26"/>
        <v>0.75</v>
      </c>
      <c r="Q166" s="3">
        <v>131</v>
      </c>
      <c r="R166" s="39">
        <v>194.75</v>
      </c>
      <c r="S166" s="2">
        <f t="shared" si="23"/>
        <v>131</v>
      </c>
      <c r="T166" s="38">
        <v>0.75</v>
      </c>
      <c r="U166" s="160">
        <f t="shared" si="24"/>
        <v>779</v>
      </c>
    </row>
    <row r="167" spans="12:21" x14ac:dyDescent="0.25">
      <c r="L167" s="5">
        <f t="shared" si="22"/>
        <v>195.25</v>
      </c>
      <c r="M167" s="39">
        <v>132</v>
      </c>
      <c r="N167" s="159">
        <f t="shared" si="25"/>
        <v>195.25</v>
      </c>
      <c r="O167" s="38">
        <f t="shared" si="26"/>
        <v>0.5</v>
      </c>
      <c r="Q167" s="3">
        <v>132</v>
      </c>
      <c r="R167" s="39">
        <v>195.25</v>
      </c>
      <c r="S167" s="2">
        <f t="shared" si="23"/>
        <v>132</v>
      </c>
      <c r="T167" s="38">
        <v>0.5</v>
      </c>
      <c r="U167" s="160">
        <f t="shared" si="24"/>
        <v>781</v>
      </c>
    </row>
    <row r="168" spans="12:21" x14ac:dyDescent="0.25">
      <c r="L168" s="5">
        <f t="shared" si="22"/>
        <v>196</v>
      </c>
      <c r="M168" s="39">
        <v>133</v>
      </c>
      <c r="N168" s="159">
        <f t="shared" si="25"/>
        <v>196</v>
      </c>
      <c r="O168" s="38">
        <f t="shared" si="26"/>
        <v>0.75</v>
      </c>
      <c r="Q168" s="3">
        <v>133</v>
      </c>
      <c r="R168" s="39">
        <v>196</v>
      </c>
      <c r="S168" s="2">
        <f t="shared" si="23"/>
        <v>133</v>
      </c>
      <c r="T168" s="38">
        <v>0.75</v>
      </c>
      <c r="U168" s="160">
        <f t="shared" si="24"/>
        <v>784</v>
      </c>
    </row>
    <row r="169" spans="12:21" x14ac:dyDescent="0.25">
      <c r="L169" s="5">
        <f t="shared" si="22"/>
        <v>196.75</v>
      </c>
      <c r="M169" s="39">
        <v>134</v>
      </c>
      <c r="N169" s="159">
        <f t="shared" si="25"/>
        <v>196.75</v>
      </c>
      <c r="O169" s="38">
        <f t="shared" si="26"/>
        <v>0.75</v>
      </c>
      <c r="Q169" s="3">
        <v>134</v>
      </c>
      <c r="R169" s="39">
        <v>196.75</v>
      </c>
      <c r="S169" s="2">
        <f t="shared" si="23"/>
        <v>134</v>
      </c>
      <c r="T169" s="38">
        <v>0.75</v>
      </c>
      <c r="U169" s="160">
        <f t="shared" si="24"/>
        <v>787</v>
      </c>
    </row>
    <row r="170" spans="12:21" x14ac:dyDescent="0.25">
      <c r="L170" s="5">
        <f t="shared" si="22"/>
        <v>197.25</v>
      </c>
      <c r="M170" s="39">
        <v>135</v>
      </c>
      <c r="N170" s="159">
        <f t="shared" si="25"/>
        <v>197.25</v>
      </c>
      <c r="O170" s="38">
        <f t="shared" si="26"/>
        <v>0.5</v>
      </c>
      <c r="Q170" s="3">
        <v>135</v>
      </c>
      <c r="R170" s="39">
        <v>197.25</v>
      </c>
      <c r="S170" s="2">
        <f t="shared" si="23"/>
        <v>135</v>
      </c>
      <c r="T170" s="38">
        <v>0.5</v>
      </c>
      <c r="U170" s="160">
        <f t="shared" si="24"/>
        <v>789</v>
      </c>
    </row>
    <row r="171" spans="12:21" x14ac:dyDescent="0.25">
      <c r="L171" s="5">
        <f t="shared" si="22"/>
        <v>198</v>
      </c>
      <c r="M171" s="39">
        <v>136</v>
      </c>
      <c r="N171" s="159">
        <f t="shared" si="25"/>
        <v>198</v>
      </c>
      <c r="O171" s="38">
        <f t="shared" si="26"/>
        <v>0.75</v>
      </c>
      <c r="Q171" s="3">
        <v>136</v>
      </c>
      <c r="R171" s="39">
        <v>198</v>
      </c>
      <c r="S171" s="2">
        <f t="shared" si="23"/>
        <v>136</v>
      </c>
      <c r="T171" s="38">
        <v>0.75</v>
      </c>
      <c r="U171" s="160">
        <f t="shared" si="24"/>
        <v>792</v>
      </c>
    </row>
    <row r="172" spans="12:21" x14ac:dyDescent="0.25">
      <c r="L172" s="5">
        <f t="shared" si="22"/>
        <v>198.75</v>
      </c>
      <c r="M172" s="39">
        <v>137</v>
      </c>
      <c r="N172" s="159">
        <f t="shared" si="25"/>
        <v>198.75</v>
      </c>
      <c r="O172" s="38">
        <f t="shared" si="26"/>
        <v>0.75</v>
      </c>
      <c r="Q172" s="3">
        <v>137</v>
      </c>
      <c r="R172" s="39">
        <v>198.75</v>
      </c>
      <c r="S172" s="2">
        <f t="shared" si="23"/>
        <v>137</v>
      </c>
      <c r="T172" s="38">
        <v>0.75</v>
      </c>
      <c r="U172" s="160">
        <f t="shared" si="24"/>
        <v>795</v>
      </c>
    </row>
    <row r="173" spans="12:21" x14ac:dyDescent="0.25">
      <c r="L173" s="5">
        <f t="shared" si="22"/>
        <v>199.25</v>
      </c>
      <c r="M173" s="39">
        <v>138</v>
      </c>
      <c r="N173" s="159">
        <f t="shared" si="25"/>
        <v>199.25</v>
      </c>
      <c r="O173" s="38">
        <f t="shared" si="26"/>
        <v>0.5</v>
      </c>
      <c r="Q173" s="3">
        <v>138</v>
      </c>
      <c r="R173" s="39">
        <v>199.25</v>
      </c>
      <c r="S173" s="2">
        <f t="shared" si="23"/>
        <v>138</v>
      </c>
      <c r="T173" s="38">
        <v>0.5</v>
      </c>
      <c r="U173" s="160">
        <f t="shared" si="24"/>
        <v>797</v>
      </c>
    </row>
    <row r="174" spans="12:21" x14ac:dyDescent="0.25">
      <c r="L174" s="5">
        <f t="shared" si="22"/>
        <v>200</v>
      </c>
      <c r="M174" s="39">
        <v>139</v>
      </c>
      <c r="N174" s="159">
        <f t="shared" si="25"/>
        <v>200</v>
      </c>
      <c r="O174" s="38">
        <f t="shared" si="26"/>
        <v>0.75</v>
      </c>
      <c r="Q174" s="3">
        <v>139</v>
      </c>
      <c r="R174" s="39">
        <v>200</v>
      </c>
      <c r="S174" s="2">
        <f t="shared" si="23"/>
        <v>139</v>
      </c>
      <c r="T174" s="38">
        <v>0.75</v>
      </c>
      <c r="U174" s="160">
        <f t="shared" si="24"/>
        <v>800</v>
      </c>
    </row>
    <row r="175" spans="12:21" x14ac:dyDescent="0.25">
      <c r="L175" s="5">
        <f t="shared" si="22"/>
        <v>200.75</v>
      </c>
      <c r="M175" s="39">
        <v>140</v>
      </c>
      <c r="N175" s="159">
        <f t="shared" si="25"/>
        <v>200.75</v>
      </c>
      <c r="O175" s="38">
        <f t="shared" si="26"/>
        <v>0.75</v>
      </c>
      <c r="Q175" s="3">
        <v>140</v>
      </c>
      <c r="R175" s="39">
        <v>200.75</v>
      </c>
      <c r="S175" s="2">
        <f t="shared" si="23"/>
        <v>140</v>
      </c>
      <c r="T175" s="38">
        <v>0.75</v>
      </c>
      <c r="U175" s="160">
        <f t="shared" si="24"/>
        <v>803</v>
      </c>
    </row>
    <row r="176" spans="12:21" x14ac:dyDescent="0.25">
      <c r="L176" s="5">
        <f t="shared" si="22"/>
        <v>201.25</v>
      </c>
      <c r="M176" s="39">
        <v>141</v>
      </c>
      <c r="N176" s="159">
        <f t="shared" si="25"/>
        <v>201.25</v>
      </c>
      <c r="O176" s="38">
        <f t="shared" si="26"/>
        <v>0.5</v>
      </c>
      <c r="Q176" s="3">
        <v>141</v>
      </c>
      <c r="R176" s="39">
        <v>201.25</v>
      </c>
      <c r="S176" s="2">
        <f t="shared" si="23"/>
        <v>141</v>
      </c>
      <c r="T176" s="38">
        <v>0.5</v>
      </c>
      <c r="U176" s="160">
        <f t="shared" si="24"/>
        <v>805</v>
      </c>
    </row>
    <row r="177" spans="12:21" x14ac:dyDescent="0.25">
      <c r="L177" s="5">
        <f t="shared" si="22"/>
        <v>202</v>
      </c>
      <c r="M177" s="39">
        <v>142</v>
      </c>
      <c r="N177" s="159">
        <f t="shared" si="25"/>
        <v>202</v>
      </c>
      <c r="O177" s="38">
        <f t="shared" si="26"/>
        <v>0.75</v>
      </c>
      <c r="Q177" s="3">
        <v>142</v>
      </c>
      <c r="R177" s="39">
        <v>202</v>
      </c>
      <c r="S177" s="2">
        <f t="shared" si="23"/>
        <v>142</v>
      </c>
      <c r="T177" s="38">
        <v>0.75</v>
      </c>
      <c r="U177" s="160">
        <f t="shared" si="24"/>
        <v>808</v>
      </c>
    </row>
    <row r="178" spans="12:21" x14ac:dyDescent="0.25">
      <c r="L178" s="5">
        <f t="shared" si="22"/>
        <v>202.75</v>
      </c>
      <c r="M178" s="39">
        <v>143</v>
      </c>
      <c r="N178" s="159">
        <f t="shared" si="25"/>
        <v>202.75</v>
      </c>
      <c r="O178" s="38">
        <f t="shared" si="26"/>
        <v>0.75</v>
      </c>
      <c r="Q178" s="3">
        <v>143</v>
      </c>
      <c r="R178" s="39">
        <v>202.75</v>
      </c>
      <c r="S178" s="2">
        <f t="shared" si="23"/>
        <v>143</v>
      </c>
      <c r="T178" s="38">
        <v>0.75</v>
      </c>
      <c r="U178" s="160">
        <f t="shared" si="24"/>
        <v>811</v>
      </c>
    </row>
    <row r="179" spans="12:21" x14ac:dyDescent="0.25">
      <c r="L179" s="5">
        <f t="shared" si="22"/>
        <v>203.25</v>
      </c>
      <c r="M179" s="39">
        <v>144</v>
      </c>
      <c r="N179" s="159">
        <f t="shared" si="25"/>
        <v>203.25</v>
      </c>
      <c r="O179" s="38">
        <f t="shared" si="26"/>
        <v>0.5</v>
      </c>
      <c r="Q179" s="3">
        <v>144</v>
      </c>
      <c r="R179" s="39">
        <v>203.25</v>
      </c>
      <c r="S179" s="2">
        <f t="shared" si="23"/>
        <v>144</v>
      </c>
      <c r="T179" s="38">
        <v>0.5</v>
      </c>
      <c r="U179" s="160">
        <f t="shared" si="24"/>
        <v>813</v>
      </c>
    </row>
    <row r="180" spans="12:21" x14ac:dyDescent="0.25">
      <c r="L180" s="5">
        <f t="shared" si="22"/>
        <v>204</v>
      </c>
      <c r="M180" s="39">
        <v>145</v>
      </c>
      <c r="N180" s="159">
        <f t="shared" si="25"/>
        <v>204</v>
      </c>
      <c r="O180" s="38">
        <f t="shared" si="26"/>
        <v>0.75</v>
      </c>
      <c r="Q180" s="3">
        <v>145</v>
      </c>
      <c r="R180" s="39">
        <v>204</v>
      </c>
      <c r="S180" s="2">
        <f t="shared" si="23"/>
        <v>145</v>
      </c>
      <c r="T180" s="38">
        <v>0.75</v>
      </c>
      <c r="U180" s="160">
        <f t="shared" si="24"/>
        <v>816</v>
      </c>
    </row>
    <row r="181" spans="12:21" x14ac:dyDescent="0.25">
      <c r="L181" s="5">
        <f t="shared" si="22"/>
        <v>204.75</v>
      </c>
      <c r="M181" s="39">
        <v>146</v>
      </c>
      <c r="N181" s="159">
        <f t="shared" si="25"/>
        <v>204.75</v>
      </c>
      <c r="O181" s="38">
        <f t="shared" si="26"/>
        <v>0.75</v>
      </c>
      <c r="Q181" s="3">
        <v>146</v>
      </c>
      <c r="R181" s="39">
        <v>204.75</v>
      </c>
      <c r="S181" s="2">
        <f t="shared" si="23"/>
        <v>146</v>
      </c>
      <c r="T181" s="38">
        <v>0.75</v>
      </c>
      <c r="U181" s="160">
        <f t="shared" si="24"/>
        <v>819</v>
      </c>
    </row>
    <row r="182" spans="12:21" x14ac:dyDescent="0.25">
      <c r="L182" s="5">
        <f t="shared" si="22"/>
        <v>205.25</v>
      </c>
      <c r="M182" s="39">
        <v>147</v>
      </c>
      <c r="N182" s="159">
        <f t="shared" si="25"/>
        <v>205.25</v>
      </c>
      <c r="O182" s="38">
        <f t="shared" si="26"/>
        <v>0.5</v>
      </c>
      <c r="Q182" s="3">
        <v>147</v>
      </c>
      <c r="R182" s="39">
        <v>205.25</v>
      </c>
      <c r="S182" s="2">
        <f t="shared" si="23"/>
        <v>147</v>
      </c>
      <c r="T182" s="38">
        <v>0.5</v>
      </c>
      <c r="U182" s="160">
        <f t="shared" si="24"/>
        <v>821</v>
      </c>
    </row>
    <row r="183" spans="12:21" x14ac:dyDescent="0.25">
      <c r="L183" s="5">
        <f t="shared" si="22"/>
        <v>205.75</v>
      </c>
      <c r="M183" s="39">
        <v>148</v>
      </c>
      <c r="N183" s="159">
        <f t="shared" si="25"/>
        <v>205.75</v>
      </c>
      <c r="O183" s="38">
        <f t="shared" si="26"/>
        <v>0.5</v>
      </c>
      <c r="Q183" s="3">
        <v>148</v>
      </c>
      <c r="R183" s="39">
        <v>205.75</v>
      </c>
      <c r="S183" s="2">
        <f t="shared" si="23"/>
        <v>148</v>
      </c>
      <c r="T183" s="38">
        <v>0.5</v>
      </c>
      <c r="U183" s="160">
        <f t="shared" si="24"/>
        <v>823</v>
      </c>
    </row>
    <row r="184" spans="12:21" x14ac:dyDescent="0.25">
      <c r="L184" s="5">
        <f t="shared" si="22"/>
        <v>206.25</v>
      </c>
      <c r="M184" s="39">
        <v>149</v>
      </c>
      <c r="N184" s="159">
        <f t="shared" si="25"/>
        <v>206.25</v>
      </c>
      <c r="O184" s="38">
        <f t="shared" si="26"/>
        <v>0.5</v>
      </c>
      <c r="Q184" s="3">
        <v>149</v>
      </c>
      <c r="R184" s="39">
        <v>206.25</v>
      </c>
      <c r="S184" s="2">
        <f t="shared" si="23"/>
        <v>149</v>
      </c>
      <c r="T184" s="38">
        <v>0.5</v>
      </c>
      <c r="U184" s="160">
        <f t="shared" si="24"/>
        <v>825</v>
      </c>
    </row>
    <row r="185" spans="12:21" x14ac:dyDescent="0.25">
      <c r="L185" s="5">
        <f t="shared" si="22"/>
        <v>206.75</v>
      </c>
      <c r="M185" s="39">
        <v>150</v>
      </c>
      <c r="N185" s="159">
        <f t="shared" si="25"/>
        <v>206.75</v>
      </c>
      <c r="O185" s="38">
        <f t="shared" si="26"/>
        <v>0.5</v>
      </c>
      <c r="Q185" s="3">
        <v>150</v>
      </c>
      <c r="R185" s="39">
        <v>206.75</v>
      </c>
      <c r="S185" s="2">
        <f t="shared" si="23"/>
        <v>150</v>
      </c>
      <c r="T185" s="38">
        <v>0.5</v>
      </c>
      <c r="U185" s="160">
        <f t="shared" si="24"/>
        <v>827</v>
      </c>
    </row>
    <row r="186" spans="12:21" x14ac:dyDescent="0.25">
      <c r="L186" s="5">
        <f t="shared" si="22"/>
        <v>207.25</v>
      </c>
      <c r="M186" s="39">
        <v>151</v>
      </c>
      <c r="N186" s="159">
        <f t="shared" si="25"/>
        <v>207.25</v>
      </c>
      <c r="O186" s="38">
        <f t="shared" si="26"/>
        <v>0.5</v>
      </c>
      <c r="Q186" s="3">
        <v>151</v>
      </c>
      <c r="R186" s="39">
        <v>207.25</v>
      </c>
      <c r="S186" s="2">
        <f t="shared" si="23"/>
        <v>151</v>
      </c>
      <c r="T186" s="38">
        <v>0.5</v>
      </c>
      <c r="U186" s="160">
        <f t="shared" si="24"/>
        <v>829</v>
      </c>
    </row>
    <row r="187" spans="12:21" x14ac:dyDescent="0.25">
      <c r="L187" s="5">
        <f t="shared" si="22"/>
        <v>207.75</v>
      </c>
      <c r="M187" s="39">
        <v>152</v>
      </c>
      <c r="N187" s="159">
        <f t="shared" si="25"/>
        <v>207.75</v>
      </c>
      <c r="O187" s="38">
        <f t="shared" si="26"/>
        <v>0.5</v>
      </c>
      <c r="Q187" s="3">
        <v>152</v>
      </c>
      <c r="R187" s="39">
        <v>207.75</v>
      </c>
      <c r="S187" s="2">
        <f t="shared" si="23"/>
        <v>152</v>
      </c>
      <c r="T187" s="38">
        <v>0.5</v>
      </c>
      <c r="U187" s="160">
        <f t="shared" si="24"/>
        <v>831</v>
      </c>
    </row>
    <row r="188" spans="12:21" x14ac:dyDescent="0.25">
      <c r="L188" s="5">
        <f t="shared" si="22"/>
        <v>208.25</v>
      </c>
      <c r="M188" s="39">
        <v>153</v>
      </c>
      <c r="N188" s="159">
        <f t="shared" si="25"/>
        <v>208.25</v>
      </c>
      <c r="O188" s="38">
        <f t="shared" si="26"/>
        <v>0.5</v>
      </c>
      <c r="Q188" s="3">
        <v>153</v>
      </c>
      <c r="R188" s="39">
        <v>208.25</v>
      </c>
      <c r="S188" s="2">
        <f t="shared" si="23"/>
        <v>153</v>
      </c>
      <c r="T188" s="38">
        <v>0.5</v>
      </c>
      <c r="U188" s="160">
        <f t="shared" si="24"/>
        <v>833</v>
      </c>
    </row>
    <row r="189" spans="12:21" x14ac:dyDescent="0.25">
      <c r="L189" s="5">
        <f t="shared" si="22"/>
        <v>209</v>
      </c>
      <c r="M189" s="39">
        <v>154</v>
      </c>
      <c r="N189" s="159">
        <f t="shared" si="25"/>
        <v>209</v>
      </c>
      <c r="O189" s="38">
        <f t="shared" si="26"/>
        <v>0.75</v>
      </c>
      <c r="Q189" s="3">
        <v>154</v>
      </c>
      <c r="R189" s="39">
        <v>209</v>
      </c>
      <c r="S189" s="2">
        <f t="shared" si="23"/>
        <v>154</v>
      </c>
      <c r="T189" s="38">
        <v>0.75</v>
      </c>
      <c r="U189" s="160">
        <f t="shared" si="24"/>
        <v>836</v>
      </c>
    </row>
    <row r="190" spans="12:21" x14ac:dyDescent="0.25">
      <c r="L190" s="5">
        <f t="shared" si="22"/>
        <v>209.75</v>
      </c>
      <c r="M190" s="39">
        <v>155</v>
      </c>
      <c r="N190" s="159">
        <f t="shared" si="25"/>
        <v>209.75</v>
      </c>
      <c r="O190" s="38">
        <f t="shared" si="26"/>
        <v>0.75</v>
      </c>
      <c r="Q190" s="3">
        <v>155</v>
      </c>
      <c r="R190" s="39">
        <v>209.75</v>
      </c>
      <c r="S190" s="2">
        <f t="shared" si="23"/>
        <v>155</v>
      </c>
      <c r="T190" s="38">
        <v>0.75</v>
      </c>
      <c r="U190" s="160">
        <f t="shared" si="24"/>
        <v>839</v>
      </c>
    </row>
    <row r="191" spans="12:21" x14ac:dyDescent="0.25">
      <c r="L191" s="5">
        <f t="shared" si="22"/>
        <v>210.25</v>
      </c>
      <c r="M191" s="39">
        <v>156</v>
      </c>
      <c r="N191" s="159">
        <f t="shared" si="25"/>
        <v>210.25</v>
      </c>
      <c r="O191" s="38">
        <f t="shared" si="26"/>
        <v>0.5</v>
      </c>
      <c r="Q191" s="3">
        <v>156</v>
      </c>
      <c r="R191" s="39">
        <v>210.25</v>
      </c>
      <c r="S191" s="2">
        <f t="shared" si="23"/>
        <v>156</v>
      </c>
      <c r="T191" s="38">
        <v>0.5</v>
      </c>
      <c r="U191" s="160">
        <f t="shared" si="24"/>
        <v>841</v>
      </c>
    </row>
    <row r="192" spans="12:21" x14ac:dyDescent="0.25">
      <c r="L192" s="5">
        <f t="shared" si="22"/>
        <v>211</v>
      </c>
      <c r="M192" s="39">
        <v>157</v>
      </c>
      <c r="N192" s="159">
        <f t="shared" si="25"/>
        <v>211</v>
      </c>
      <c r="O192" s="38">
        <f t="shared" si="26"/>
        <v>0.75</v>
      </c>
      <c r="Q192" s="3">
        <v>157</v>
      </c>
      <c r="R192" s="39">
        <v>211</v>
      </c>
      <c r="S192" s="2">
        <f t="shared" si="23"/>
        <v>157</v>
      </c>
      <c r="T192" s="38">
        <v>0.75</v>
      </c>
      <c r="U192" s="160">
        <f t="shared" si="24"/>
        <v>844</v>
      </c>
    </row>
    <row r="193" spans="12:21" x14ac:dyDescent="0.25">
      <c r="L193" s="5">
        <f t="shared" si="22"/>
        <v>211.5</v>
      </c>
      <c r="M193" s="39">
        <v>158</v>
      </c>
      <c r="N193" s="159">
        <f t="shared" si="25"/>
        <v>211.5</v>
      </c>
      <c r="O193" s="38">
        <f t="shared" si="26"/>
        <v>0.5</v>
      </c>
      <c r="Q193" s="3">
        <v>158</v>
      </c>
      <c r="R193" s="39">
        <v>211.5</v>
      </c>
      <c r="S193" s="2">
        <f t="shared" si="23"/>
        <v>158</v>
      </c>
      <c r="T193" s="38">
        <v>0.5</v>
      </c>
      <c r="U193" s="160">
        <f t="shared" si="24"/>
        <v>846</v>
      </c>
    </row>
    <row r="194" spans="12:21" x14ac:dyDescent="0.25">
      <c r="L194" s="5">
        <f t="shared" si="22"/>
        <v>212</v>
      </c>
      <c r="M194" s="39">
        <v>159</v>
      </c>
      <c r="N194" s="159">
        <f t="shared" si="25"/>
        <v>212</v>
      </c>
      <c r="O194" s="38">
        <f t="shared" si="26"/>
        <v>0.5</v>
      </c>
      <c r="Q194" s="3">
        <v>159</v>
      </c>
      <c r="R194" s="39">
        <v>212</v>
      </c>
      <c r="S194" s="2">
        <f t="shared" si="23"/>
        <v>159</v>
      </c>
      <c r="T194" s="38">
        <v>0.5</v>
      </c>
      <c r="U194" s="160">
        <f t="shared" si="24"/>
        <v>848</v>
      </c>
    </row>
    <row r="195" spans="12:21" x14ac:dyDescent="0.25">
      <c r="L195" s="5">
        <f t="shared" si="22"/>
        <v>212.75</v>
      </c>
      <c r="M195" s="39">
        <v>160</v>
      </c>
      <c r="N195" s="159">
        <f t="shared" si="25"/>
        <v>212.75</v>
      </c>
      <c r="O195" s="38">
        <f t="shared" si="26"/>
        <v>0.75</v>
      </c>
      <c r="Q195" s="3">
        <v>160</v>
      </c>
      <c r="R195" s="39">
        <v>212.75</v>
      </c>
      <c r="S195" s="2">
        <f t="shared" si="23"/>
        <v>160</v>
      </c>
      <c r="T195" s="38">
        <v>0.75</v>
      </c>
      <c r="U195" s="160">
        <f t="shared" si="24"/>
        <v>851</v>
      </c>
    </row>
    <row r="196" spans="12:21" x14ac:dyDescent="0.25">
      <c r="L196" s="5">
        <f t="shared" si="22"/>
        <v>213.25</v>
      </c>
      <c r="M196" s="39">
        <v>161</v>
      </c>
      <c r="N196" s="159">
        <f t="shared" si="25"/>
        <v>213.25</v>
      </c>
      <c r="O196" s="38">
        <f t="shared" si="26"/>
        <v>0.5</v>
      </c>
      <c r="Q196" s="3">
        <v>161</v>
      </c>
      <c r="R196" s="39">
        <v>213.25</v>
      </c>
      <c r="S196" s="2">
        <f t="shared" si="23"/>
        <v>161</v>
      </c>
      <c r="T196" s="38">
        <v>0.5</v>
      </c>
      <c r="U196" s="160">
        <f t="shared" si="24"/>
        <v>853</v>
      </c>
    </row>
    <row r="197" spans="12:21" x14ac:dyDescent="0.25">
      <c r="L197" s="5">
        <f t="shared" si="22"/>
        <v>213.75</v>
      </c>
      <c r="M197" s="39">
        <v>162</v>
      </c>
      <c r="N197" s="159">
        <f t="shared" si="25"/>
        <v>213.75</v>
      </c>
      <c r="O197" s="38">
        <f t="shared" si="26"/>
        <v>0.5</v>
      </c>
      <c r="Q197" s="3">
        <v>162</v>
      </c>
      <c r="R197" s="39">
        <v>213.75</v>
      </c>
      <c r="S197" s="2">
        <f t="shared" si="23"/>
        <v>162</v>
      </c>
      <c r="T197" s="38">
        <v>0.5</v>
      </c>
      <c r="U197" s="160">
        <f t="shared" si="24"/>
        <v>855</v>
      </c>
    </row>
    <row r="198" spans="12:21" x14ac:dyDescent="0.25">
      <c r="L198" s="5">
        <f t="shared" si="22"/>
        <v>214.25</v>
      </c>
      <c r="M198" s="39">
        <v>163</v>
      </c>
      <c r="N198" s="159">
        <f t="shared" si="25"/>
        <v>214.25</v>
      </c>
      <c r="O198" s="38">
        <f t="shared" si="26"/>
        <v>0.5</v>
      </c>
      <c r="Q198" s="3">
        <v>163</v>
      </c>
      <c r="R198" s="39">
        <v>214.25</v>
      </c>
      <c r="S198" s="2">
        <f t="shared" si="23"/>
        <v>163</v>
      </c>
      <c r="T198" s="38">
        <v>0.5</v>
      </c>
      <c r="U198" s="160">
        <f t="shared" si="24"/>
        <v>857</v>
      </c>
    </row>
    <row r="199" spans="12:21" x14ac:dyDescent="0.25">
      <c r="L199" s="5">
        <f t="shared" si="22"/>
        <v>214.75</v>
      </c>
      <c r="M199" s="39">
        <v>164</v>
      </c>
      <c r="N199" s="159">
        <f t="shared" si="25"/>
        <v>214.75</v>
      </c>
      <c r="O199" s="38">
        <f t="shared" si="26"/>
        <v>0.5</v>
      </c>
      <c r="Q199" s="3">
        <v>164</v>
      </c>
      <c r="R199" s="39">
        <v>214.75</v>
      </c>
      <c r="S199" s="2">
        <f t="shared" si="23"/>
        <v>164</v>
      </c>
      <c r="T199" s="38">
        <v>0.5</v>
      </c>
      <c r="U199" s="160">
        <f t="shared" si="24"/>
        <v>859</v>
      </c>
    </row>
    <row r="200" spans="12:21" x14ac:dyDescent="0.25">
      <c r="L200" s="5">
        <f t="shared" si="22"/>
        <v>215.25</v>
      </c>
      <c r="M200" s="39">
        <v>165</v>
      </c>
      <c r="N200" s="159">
        <f t="shared" si="25"/>
        <v>215.25</v>
      </c>
      <c r="O200" s="38">
        <f t="shared" si="26"/>
        <v>0.5</v>
      </c>
      <c r="Q200" s="3">
        <v>165</v>
      </c>
      <c r="R200" s="39">
        <v>215.25</v>
      </c>
      <c r="S200" s="2">
        <f t="shared" si="23"/>
        <v>165</v>
      </c>
      <c r="T200" s="38">
        <v>0.5</v>
      </c>
      <c r="U200" s="160">
        <f t="shared" si="24"/>
        <v>861</v>
      </c>
    </row>
    <row r="201" spans="12:21" x14ac:dyDescent="0.25">
      <c r="L201" s="5">
        <f t="shared" si="22"/>
        <v>216</v>
      </c>
      <c r="M201" s="39">
        <v>166</v>
      </c>
      <c r="N201" s="159">
        <f t="shared" si="25"/>
        <v>216</v>
      </c>
      <c r="O201" s="38">
        <f t="shared" si="26"/>
        <v>0.75</v>
      </c>
      <c r="Q201" s="3">
        <v>166</v>
      </c>
      <c r="R201" s="39">
        <v>216</v>
      </c>
      <c r="S201" s="2">
        <f t="shared" si="23"/>
        <v>166</v>
      </c>
      <c r="T201" s="38">
        <v>0.75</v>
      </c>
      <c r="U201" s="160">
        <f t="shared" si="24"/>
        <v>864</v>
      </c>
    </row>
    <row r="202" spans="12:21" x14ac:dyDescent="0.25">
      <c r="L202" s="5">
        <f t="shared" si="22"/>
        <v>216.5</v>
      </c>
      <c r="M202" s="39">
        <v>167</v>
      </c>
      <c r="N202" s="159">
        <f t="shared" si="25"/>
        <v>216.5</v>
      </c>
      <c r="O202" s="38">
        <f t="shared" si="26"/>
        <v>0.5</v>
      </c>
      <c r="Q202" s="3">
        <v>167</v>
      </c>
      <c r="R202" s="39">
        <v>216.5</v>
      </c>
      <c r="S202" s="2">
        <f t="shared" si="23"/>
        <v>167</v>
      </c>
      <c r="T202" s="38">
        <v>0.5</v>
      </c>
      <c r="U202" s="160">
        <f t="shared" si="24"/>
        <v>866</v>
      </c>
    </row>
    <row r="203" spans="12:21" x14ac:dyDescent="0.25">
      <c r="L203" s="5">
        <f t="shared" si="22"/>
        <v>217</v>
      </c>
      <c r="M203" s="39">
        <v>168</v>
      </c>
      <c r="N203" s="159">
        <f t="shared" si="25"/>
        <v>217</v>
      </c>
      <c r="O203" s="38">
        <f t="shared" si="26"/>
        <v>0.5</v>
      </c>
      <c r="Q203" s="3">
        <v>168</v>
      </c>
      <c r="R203" s="39">
        <v>217</v>
      </c>
      <c r="S203" s="2">
        <f t="shared" si="23"/>
        <v>168</v>
      </c>
      <c r="T203" s="38">
        <v>0.5</v>
      </c>
      <c r="U203" s="160">
        <f t="shared" si="24"/>
        <v>868</v>
      </c>
    </row>
    <row r="204" spans="12:21" x14ac:dyDescent="0.25">
      <c r="L204" s="5">
        <f t="shared" si="22"/>
        <v>217.5</v>
      </c>
      <c r="M204" s="39">
        <v>169</v>
      </c>
      <c r="N204" s="159">
        <f t="shared" si="25"/>
        <v>217.5</v>
      </c>
      <c r="O204" s="38">
        <f t="shared" si="26"/>
        <v>0.5</v>
      </c>
      <c r="Q204" s="3">
        <v>169</v>
      </c>
      <c r="R204" s="39">
        <v>217.5</v>
      </c>
      <c r="S204" s="2">
        <f t="shared" si="23"/>
        <v>169</v>
      </c>
      <c r="T204" s="38">
        <v>0.5</v>
      </c>
      <c r="U204" s="160">
        <f t="shared" si="24"/>
        <v>870</v>
      </c>
    </row>
    <row r="205" spans="12:21" x14ac:dyDescent="0.25">
      <c r="L205" s="5">
        <f t="shared" si="22"/>
        <v>218</v>
      </c>
      <c r="M205" s="39">
        <v>170</v>
      </c>
      <c r="N205" s="159">
        <f t="shared" si="25"/>
        <v>218</v>
      </c>
      <c r="O205" s="38">
        <f t="shared" si="26"/>
        <v>0.5</v>
      </c>
      <c r="Q205" s="3">
        <v>170</v>
      </c>
      <c r="R205" s="39">
        <v>218</v>
      </c>
      <c r="S205" s="2">
        <f t="shared" si="23"/>
        <v>170</v>
      </c>
      <c r="T205" s="38">
        <v>0.5</v>
      </c>
      <c r="U205" s="160">
        <f t="shared" si="24"/>
        <v>872</v>
      </c>
    </row>
    <row r="206" spans="12:21" x14ac:dyDescent="0.25">
      <c r="L206" s="5">
        <f t="shared" si="22"/>
        <v>218.5</v>
      </c>
      <c r="M206" s="39">
        <v>171</v>
      </c>
      <c r="N206" s="159">
        <f t="shared" si="25"/>
        <v>218.5</v>
      </c>
      <c r="O206" s="38">
        <f t="shared" si="26"/>
        <v>0.5</v>
      </c>
      <c r="Q206" s="3">
        <v>171</v>
      </c>
      <c r="R206" s="39">
        <v>218.5</v>
      </c>
      <c r="S206" s="2">
        <f t="shared" si="23"/>
        <v>171</v>
      </c>
      <c r="T206" s="38">
        <v>0.5</v>
      </c>
      <c r="U206" s="160">
        <f t="shared" si="24"/>
        <v>874</v>
      </c>
    </row>
    <row r="207" spans="12:21" x14ac:dyDescent="0.25">
      <c r="L207" s="5">
        <f t="shared" si="22"/>
        <v>219</v>
      </c>
      <c r="M207" s="39">
        <v>172</v>
      </c>
      <c r="N207" s="159">
        <f t="shared" si="25"/>
        <v>219</v>
      </c>
      <c r="O207" s="38">
        <f t="shared" si="26"/>
        <v>0.5</v>
      </c>
      <c r="Q207" s="3">
        <v>172</v>
      </c>
      <c r="R207" s="39">
        <v>219</v>
      </c>
      <c r="S207" s="2">
        <f t="shared" si="23"/>
        <v>172</v>
      </c>
      <c r="T207" s="38">
        <v>0.5</v>
      </c>
      <c r="U207" s="160">
        <f t="shared" si="24"/>
        <v>876</v>
      </c>
    </row>
    <row r="208" spans="12:21" x14ac:dyDescent="0.25">
      <c r="L208" s="5">
        <f t="shared" si="22"/>
        <v>219.5</v>
      </c>
      <c r="M208" s="39">
        <v>173</v>
      </c>
      <c r="N208" s="159">
        <f t="shared" si="25"/>
        <v>219.5</v>
      </c>
      <c r="O208" s="38">
        <f t="shared" si="26"/>
        <v>0.5</v>
      </c>
      <c r="Q208" s="3">
        <v>173</v>
      </c>
      <c r="R208" s="39">
        <v>219.5</v>
      </c>
      <c r="S208" s="2">
        <f t="shared" si="23"/>
        <v>173</v>
      </c>
      <c r="T208" s="38">
        <v>0.5</v>
      </c>
      <c r="U208" s="160">
        <f t="shared" si="24"/>
        <v>878</v>
      </c>
    </row>
    <row r="209" spans="12:21" x14ac:dyDescent="0.25">
      <c r="L209" s="5">
        <f t="shared" si="22"/>
        <v>220</v>
      </c>
      <c r="M209" s="39">
        <v>174</v>
      </c>
      <c r="N209" s="159">
        <f t="shared" si="25"/>
        <v>220</v>
      </c>
      <c r="O209" s="38">
        <f t="shared" si="26"/>
        <v>0.5</v>
      </c>
      <c r="Q209" s="3">
        <v>174</v>
      </c>
      <c r="R209" s="39">
        <v>220</v>
      </c>
      <c r="S209" s="2">
        <f t="shared" si="23"/>
        <v>174</v>
      </c>
      <c r="T209" s="38">
        <v>0.5</v>
      </c>
      <c r="U209" s="160">
        <f t="shared" si="24"/>
        <v>880</v>
      </c>
    </row>
    <row r="210" spans="12:21" x14ac:dyDescent="0.25">
      <c r="L210" s="5">
        <f t="shared" si="22"/>
        <v>220.5</v>
      </c>
      <c r="M210" s="39">
        <v>175</v>
      </c>
      <c r="N210" s="159">
        <f t="shared" si="25"/>
        <v>220.5</v>
      </c>
      <c r="O210" s="38">
        <f t="shared" si="26"/>
        <v>0.5</v>
      </c>
      <c r="Q210" s="3">
        <v>175</v>
      </c>
      <c r="R210" s="39">
        <v>220.5</v>
      </c>
      <c r="S210" s="2">
        <f t="shared" si="23"/>
        <v>175</v>
      </c>
      <c r="T210" s="38">
        <v>0.5</v>
      </c>
      <c r="U210" s="160">
        <f t="shared" si="24"/>
        <v>882</v>
      </c>
    </row>
    <row r="211" spans="12:21" x14ac:dyDescent="0.25">
      <c r="L211" s="5">
        <f t="shared" si="22"/>
        <v>221</v>
      </c>
      <c r="M211" s="39">
        <v>176</v>
      </c>
      <c r="N211" s="159">
        <f t="shared" si="25"/>
        <v>221</v>
      </c>
      <c r="O211" s="38">
        <f t="shared" si="26"/>
        <v>0.5</v>
      </c>
      <c r="Q211" s="3">
        <v>176</v>
      </c>
      <c r="R211" s="39">
        <v>221</v>
      </c>
      <c r="S211" s="2">
        <f t="shared" si="23"/>
        <v>176</v>
      </c>
      <c r="T211" s="38">
        <v>0.5</v>
      </c>
      <c r="U211" s="160">
        <f t="shared" si="24"/>
        <v>884</v>
      </c>
    </row>
    <row r="212" spans="12:21" x14ac:dyDescent="0.25">
      <c r="L212" s="5">
        <f t="shared" si="22"/>
        <v>221.5</v>
      </c>
      <c r="M212" s="39">
        <v>177</v>
      </c>
      <c r="N212" s="159">
        <f t="shared" si="25"/>
        <v>221.5</v>
      </c>
      <c r="O212" s="38">
        <f t="shared" si="26"/>
        <v>0.5</v>
      </c>
      <c r="Q212" s="3">
        <v>177</v>
      </c>
      <c r="R212" s="39">
        <v>221.5</v>
      </c>
      <c r="S212" s="2">
        <f t="shared" si="23"/>
        <v>177</v>
      </c>
      <c r="T212" s="38">
        <v>0.5</v>
      </c>
      <c r="U212" s="160">
        <f t="shared" si="24"/>
        <v>886</v>
      </c>
    </row>
    <row r="213" spans="12:21" x14ac:dyDescent="0.25">
      <c r="L213" s="5">
        <f t="shared" si="22"/>
        <v>222</v>
      </c>
      <c r="M213" s="39">
        <v>178</v>
      </c>
      <c r="N213" s="159">
        <f t="shared" si="25"/>
        <v>222</v>
      </c>
      <c r="O213" s="38">
        <f t="shared" si="26"/>
        <v>0.5</v>
      </c>
      <c r="Q213" s="3">
        <v>178</v>
      </c>
      <c r="R213" s="39">
        <v>222</v>
      </c>
      <c r="S213" s="2">
        <f t="shared" si="23"/>
        <v>178</v>
      </c>
      <c r="T213" s="38">
        <v>0.5</v>
      </c>
      <c r="U213" s="160">
        <f t="shared" si="24"/>
        <v>888</v>
      </c>
    </row>
    <row r="214" spans="12:21" x14ac:dyDescent="0.25">
      <c r="L214" s="5">
        <f t="shared" si="22"/>
        <v>222.5</v>
      </c>
      <c r="M214" s="39">
        <v>179</v>
      </c>
      <c r="N214" s="159">
        <f t="shared" si="25"/>
        <v>222.5</v>
      </c>
      <c r="O214" s="38">
        <f t="shared" si="26"/>
        <v>0.5</v>
      </c>
      <c r="Q214" s="3">
        <v>179</v>
      </c>
      <c r="R214" s="39">
        <v>222.5</v>
      </c>
      <c r="S214" s="2">
        <f t="shared" si="23"/>
        <v>179</v>
      </c>
      <c r="T214" s="38">
        <v>0.5</v>
      </c>
      <c r="U214" s="160">
        <f t="shared" si="24"/>
        <v>890</v>
      </c>
    </row>
    <row r="215" spans="12:21" x14ac:dyDescent="0.25">
      <c r="L215" s="5">
        <f t="shared" si="22"/>
        <v>223</v>
      </c>
      <c r="M215" s="39">
        <v>180</v>
      </c>
      <c r="N215" s="159">
        <f t="shared" si="25"/>
        <v>223</v>
      </c>
      <c r="O215" s="38">
        <f t="shared" si="26"/>
        <v>0.5</v>
      </c>
      <c r="Q215" s="3">
        <v>180</v>
      </c>
      <c r="R215" s="39">
        <v>223</v>
      </c>
      <c r="S215" s="2">
        <f t="shared" si="23"/>
        <v>180</v>
      </c>
      <c r="T215" s="38">
        <v>0.5</v>
      </c>
      <c r="U215" s="160">
        <f t="shared" si="24"/>
        <v>892</v>
      </c>
    </row>
    <row r="216" spans="12:21" x14ac:dyDescent="0.25">
      <c r="L216" s="5">
        <f t="shared" si="22"/>
        <v>223.5</v>
      </c>
      <c r="M216" s="39">
        <v>181</v>
      </c>
      <c r="N216" s="159">
        <f t="shared" si="25"/>
        <v>223.5</v>
      </c>
      <c r="O216" s="38">
        <f t="shared" si="26"/>
        <v>0.5</v>
      </c>
      <c r="Q216" s="3">
        <v>181</v>
      </c>
      <c r="R216" s="39">
        <v>223.5</v>
      </c>
      <c r="S216" s="2">
        <f t="shared" si="23"/>
        <v>181</v>
      </c>
      <c r="T216" s="38">
        <v>0.5</v>
      </c>
      <c r="U216" s="160">
        <f t="shared" si="24"/>
        <v>894</v>
      </c>
    </row>
    <row r="217" spans="12:21" x14ac:dyDescent="0.25">
      <c r="L217" s="5">
        <f t="shared" si="22"/>
        <v>224</v>
      </c>
      <c r="M217" s="39">
        <v>182</v>
      </c>
      <c r="N217" s="159">
        <f t="shared" si="25"/>
        <v>224</v>
      </c>
      <c r="O217" s="38">
        <f t="shared" si="26"/>
        <v>0.5</v>
      </c>
      <c r="Q217" s="3">
        <v>182</v>
      </c>
      <c r="R217" s="39">
        <v>224</v>
      </c>
      <c r="S217" s="2">
        <f t="shared" si="23"/>
        <v>182</v>
      </c>
      <c r="T217" s="38">
        <v>0.5</v>
      </c>
      <c r="U217" s="160">
        <f t="shared" si="24"/>
        <v>896</v>
      </c>
    </row>
    <row r="218" spans="12:21" x14ac:dyDescent="0.25">
      <c r="L218" s="5">
        <f t="shared" si="22"/>
        <v>224.5</v>
      </c>
      <c r="M218" s="39">
        <v>183</v>
      </c>
      <c r="N218" s="159">
        <f t="shared" si="25"/>
        <v>224.5</v>
      </c>
      <c r="O218" s="38">
        <f t="shared" si="26"/>
        <v>0.5</v>
      </c>
      <c r="Q218" s="3">
        <v>183</v>
      </c>
      <c r="R218" s="39">
        <v>224.5</v>
      </c>
      <c r="S218" s="2">
        <f t="shared" si="23"/>
        <v>183</v>
      </c>
      <c r="T218" s="38">
        <v>0.5</v>
      </c>
      <c r="U218" s="160">
        <f t="shared" si="24"/>
        <v>898</v>
      </c>
    </row>
    <row r="219" spans="12:21" x14ac:dyDescent="0.25">
      <c r="L219" s="5">
        <f t="shared" si="22"/>
        <v>225</v>
      </c>
      <c r="M219" s="39">
        <v>184</v>
      </c>
      <c r="N219" s="159">
        <f t="shared" si="25"/>
        <v>225</v>
      </c>
      <c r="O219" s="38">
        <f t="shared" si="26"/>
        <v>0.5</v>
      </c>
      <c r="Q219" s="3">
        <v>184</v>
      </c>
      <c r="R219" s="39">
        <v>225</v>
      </c>
      <c r="S219" s="2">
        <f t="shared" si="23"/>
        <v>184</v>
      </c>
      <c r="T219" s="38">
        <v>0.5</v>
      </c>
      <c r="U219" s="160">
        <f t="shared" si="24"/>
        <v>900</v>
      </c>
    </row>
    <row r="220" spans="12:21" x14ac:dyDescent="0.25">
      <c r="L220" s="5">
        <f t="shared" si="22"/>
        <v>225.75</v>
      </c>
      <c r="M220" s="39">
        <v>185</v>
      </c>
      <c r="N220" s="159">
        <f t="shared" si="25"/>
        <v>225.75</v>
      </c>
      <c r="O220" s="38">
        <f t="shared" si="26"/>
        <v>0.75</v>
      </c>
      <c r="Q220" s="3">
        <v>185</v>
      </c>
      <c r="R220" s="39">
        <v>225.75</v>
      </c>
      <c r="S220" s="2">
        <f t="shared" si="23"/>
        <v>185</v>
      </c>
      <c r="T220" s="38">
        <v>0.75</v>
      </c>
      <c r="U220" s="160">
        <f t="shared" si="24"/>
        <v>903</v>
      </c>
    </row>
    <row r="221" spans="12:21" x14ac:dyDescent="0.25">
      <c r="L221" s="5">
        <f t="shared" si="22"/>
        <v>226.25</v>
      </c>
      <c r="M221" s="39">
        <v>186</v>
      </c>
      <c r="N221" s="159">
        <f t="shared" si="25"/>
        <v>226.25</v>
      </c>
      <c r="O221" s="38">
        <f t="shared" si="26"/>
        <v>0.5</v>
      </c>
      <c r="Q221" s="3">
        <v>186</v>
      </c>
      <c r="R221" s="39">
        <v>226.25</v>
      </c>
      <c r="S221" s="2">
        <f t="shared" si="23"/>
        <v>186</v>
      </c>
      <c r="T221" s="38">
        <v>0.5</v>
      </c>
      <c r="U221" s="160">
        <f t="shared" si="24"/>
        <v>905</v>
      </c>
    </row>
    <row r="222" spans="12:21" x14ac:dyDescent="0.25">
      <c r="L222" s="5">
        <f t="shared" si="22"/>
        <v>226.75</v>
      </c>
      <c r="M222" s="39">
        <v>187</v>
      </c>
      <c r="N222" s="159">
        <f t="shared" si="25"/>
        <v>226.75</v>
      </c>
      <c r="O222" s="38">
        <f t="shared" si="26"/>
        <v>0.5</v>
      </c>
      <c r="Q222" s="3">
        <v>187</v>
      </c>
      <c r="R222" s="39">
        <v>226.75</v>
      </c>
      <c r="S222" s="2">
        <f t="shared" si="23"/>
        <v>187</v>
      </c>
      <c r="T222" s="38">
        <v>0.5</v>
      </c>
      <c r="U222" s="160">
        <f t="shared" si="24"/>
        <v>907</v>
      </c>
    </row>
    <row r="223" spans="12:21" x14ac:dyDescent="0.25">
      <c r="L223" s="5">
        <f t="shared" si="22"/>
        <v>227.25</v>
      </c>
      <c r="M223" s="39">
        <v>188</v>
      </c>
      <c r="N223" s="159">
        <f t="shared" si="25"/>
        <v>227.25</v>
      </c>
      <c r="O223" s="38">
        <f t="shared" si="26"/>
        <v>0.5</v>
      </c>
      <c r="Q223" s="3">
        <v>188</v>
      </c>
      <c r="R223" s="39">
        <v>227.25</v>
      </c>
      <c r="S223" s="2">
        <f t="shared" si="23"/>
        <v>188</v>
      </c>
      <c r="T223" s="38">
        <v>0.5</v>
      </c>
      <c r="U223" s="160">
        <f t="shared" si="24"/>
        <v>909</v>
      </c>
    </row>
    <row r="224" spans="12:21" x14ac:dyDescent="0.25">
      <c r="L224" s="5">
        <f t="shared" si="22"/>
        <v>227.75</v>
      </c>
      <c r="M224" s="39">
        <v>189</v>
      </c>
      <c r="N224" s="159">
        <f t="shared" si="25"/>
        <v>227.75</v>
      </c>
      <c r="O224" s="38">
        <f t="shared" si="26"/>
        <v>0.5</v>
      </c>
      <c r="Q224" s="3">
        <v>189</v>
      </c>
      <c r="R224" s="39">
        <v>227.75</v>
      </c>
      <c r="S224" s="2">
        <f t="shared" si="23"/>
        <v>189</v>
      </c>
      <c r="T224" s="38">
        <v>0.5</v>
      </c>
      <c r="U224" s="160">
        <f t="shared" si="24"/>
        <v>911</v>
      </c>
    </row>
    <row r="225" spans="12:21" x14ac:dyDescent="0.25">
      <c r="L225" s="5">
        <f t="shared" si="22"/>
        <v>228.25</v>
      </c>
      <c r="M225" s="39">
        <v>190</v>
      </c>
      <c r="N225" s="159">
        <f t="shared" si="25"/>
        <v>228.25</v>
      </c>
      <c r="O225" s="38">
        <f t="shared" si="26"/>
        <v>0.5</v>
      </c>
      <c r="Q225" s="3">
        <v>190</v>
      </c>
      <c r="R225" s="39">
        <v>228.25</v>
      </c>
      <c r="S225" s="2">
        <f t="shared" si="23"/>
        <v>190</v>
      </c>
      <c r="T225" s="38">
        <v>0.5</v>
      </c>
      <c r="U225" s="160">
        <f t="shared" si="24"/>
        <v>913</v>
      </c>
    </row>
    <row r="226" spans="12:21" x14ac:dyDescent="0.25">
      <c r="L226" s="5">
        <f t="shared" si="22"/>
        <v>228.75</v>
      </c>
      <c r="M226" s="39">
        <v>191</v>
      </c>
      <c r="N226" s="159">
        <f t="shared" si="25"/>
        <v>228.75</v>
      </c>
      <c r="O226" s="38">
        <f t="shared" si="26"/>
        <v>0.5</v>
      </c>
      <c r="Q226" s="3">
        <v>191</v>
      </c>
      <c r="R226" s="39">
        <v>228.75</v>
      </c>
      <c r="S226" s="2">
        <f t="shared" si="23"/>
        <v>191</v>
      </c>
      <c r="T226" s="38">
        <v>0.5</v>
      </c>
      <c r="U226" s="160">
        <f t="shared" si="24"/>
        <v>915</v>
      </c>
    </row>
    <row r="227" spans="12:21" x14ac:dyDescent="0.25">
      <c r="L227" s="5">
        <f t="shared" si="22"/>
        <v>229</v>
      </c>
      <c r="M227" s="39">
        <v>192</v>
      </c>
      <c r="N227" s="159">
        <f t="shared" si="25"/>
        <v>229</v>
      </c>
      <c r="O227" s="38">
        <f t="shared" si="26"/>
        <v>0.25</v>
      </c>
      <c r="Q227" s="3">
        <v>192</v>
      </c>
      <c r="R227" s="39">
        <v>229</v>
      </c>
      <c r="S227" s="2">
        <f t="shared" si="23"/>
        <v>192</v>
      </c>
      <c r="T227" s="38">
        <v>0.25</v>
      </c>
      <c r="U227" s="160">
        <f t="shared" si="24"/>
        <v>916</v>
      </c>
    </row>
    <row r="228" spans="12:21" x14ac:dyDescent="0.25">
      <c r="L228" s="5">
        <f t="shared" ref="L228:L291" si="27">N228</f>
        <v>229.5</v>
      </c>
      <c r="M228" s="39">
        <v>193</v>
      </c>
      <c r="N228" s="159">
        <f t="shared" si="25"/>
        <v>229.5</v>
      </c>
      <c r="O228" s="38">
        <f t="shared" si="26"/>
        <v>0.5</v>
      </c>
      <c r="Q228" s="3">
        <v>193</v>
      </c>
      <c r="R228" s="39">
        <v>229.5</v>
      </c>
      <c r="S228" s="2">
        <f t="shared" ref="S228:S291" si="28">Q228</f>
        <v>193</v>
      </c>
      <c r="T228" s="38">
        <v>0.5</v>
      </c>
      <c r="U228" s="160">
        <f t="shared" ref="U228:U291" si="29">R228*4</f>
        <v>918</v>
      </c>
    </row>
    <row r="229" spans="12:21" x14ac:dyDescent="0.25">
      <c r="L229" s="5">
        <f t="shared" si="27"/>
        <v>230</v>
      </c>
      <c r="M229" s="39">
        <v>194</v>
      </c>
      <c r="N229" s="159">
        <f t="shared" ref="N229:N290" si="30">VALUE(MID($S$2,FIND("*",SUBSTITUTE($S$2," ","*",M229),1)+1,FIND("*",SUBSTITUTE($S$2," ","*",M230),1)-FIND("*",SUBSTITUTE($S$2," ","*",M229),1)-1))/4</f>
        <v>230</v>
      </c>
      <c r="O229" s="38">
        <f t="shared" ref="O229:O291" si="31">N229-N228</f>
        <v>0.5</v>
      </c>
      <c r="Q229" s="3">
        <v>194</v>
      </c>
      <c r="R229" s="39">
        <v>230</v>
      </c>
      <c r="S229" s="2">
        <f t="shared" si="28"/>
        <v>194</v>
      </c>
      <c r="T229" s="38">
        <v>0.5</v>
      </c>
      <c r="U229" s="160">
        <f t="shared" si="29"/>
        <v>920</v>
      </c>
    </row>
    <row r="230" spans="12:21" x14ac:dyDescent="0.25">
      <c r="L230" s="5">
        <f t="shared" si="27"/>
        <v>230.5</v>
      </c>
      <c r="M230" s="39">
        <v>195</v>
      </c>
      <c r="N230" s="159">
        <f t="shared" si="30"/>
        <v>230.5</v>
      </c>
      <c r="O230" s="38">
        <f t="shared" si="31"/>
        <v>0.5</v>
      </c>
      <c r="Q230" s="3">
        <v>195</v>
      </c>
      <c r="R230" s="39">
        <v>230.5</v>
      </c>
      <c r="S230" s="2">
        <f t="shared" si="28"/>
        <v>195</v>
      </c>
      <c r="T230" s="38">
        <v>0.5</v>
      </c>
      <c r="U230" s="160">
        <f t="shared" si="29"/>
        <v>922</v>
      </c>
    </row>
    <row r="231" spans="12:21" x14ac:dyDescent="0.25">
      <c r="L231" s="5">
        <f t="shared" si="27"/>
        <v>230.75</v>
      </c>
      <c r="M231" s="39">
        <v>196</v>
      </c>
      <c r="N231" s="159">
        <f t="shared" si="30"/>
        <v>230.75</v>
      </c>
      <c r="O231" s="38">
        <f t="shared" si="31"/>
        <v>0.25</v>
      </c>
      <c r="Q231" s="3">
        <v>196</v>
      </c>
      <c r="R231" s="39">
        <v>230.75</v>
      </c>
      <c r="S231" s="2">
        <f t="shared" si="28"/>
        <v>196</v>
      </c>
      <c r="T231" s="38">
        <v>0.25</v>
      </c>
      <c r="U231" s="160">
        <f t="shared" si="29"/>
        <v>923</v>
      </c>
    </row>
    <row r="232" spans="12:21" x14ac:dyDescent="0.25">
      <c r="L232" s="5">
        <f t="shared" si="27"/>
        <v>231.25</v>
      </c>
      <c r="M232" s="39">
        <v>197</v>
      </c>
      <c r="N232" s="159">
        <f t="shared" si="30"/>
        <v>231.25</v>
      </c>
      <c r="O232" s="38">
        <f t="shared" si="31"/>
        <v>0.5</v>
      </c>
      <c r="Q232" s="3">
        <v>197</v>
      </c>
      <c r="R232" s="39">
        <v>231.25</v>
      </c>
      <c r="S232" s="2">
        <f t="shared" si="28"/>
        <v>197</v>
      </c>
      <c r="T232" s="38">
        <v>0.5</v>
      </c>
      <c r="U232" s="160">
        <f t="shared" si="29"/>
        <v>925</v>
      </c>
    </row>
    <row r="233" spans="12:21" x14ac:dyDescent="0.25">
      <c r="L233" s="5">
        <f t="shared" si="27"/>
        <v>231.75</v>
      </c>
      <c r="M233" s="39">
        <v>198</v>
      </c>
      <c r="N233" s="159">
        <f t="shared" si="30"/>
        <v>231.75</v>
      </c>
      <c r="O233" s="38">
        <f t="shared" si="31"/>
        <v>0.5</v>
      </c>
      <c r="Q233" s="3">
        <v>198</v>
      </c>
      <c r="R233" s="39">
        <v>231.75</v>
      </c>
      <c r="S233" s="2">
        <f t="shared" si="28"/>
        <v>198</v>
      </c>
      <c r="T233" s="38">
        <v>0.5</v>
      </c>
      <c r="U233" s="160">
        <f t="shared" si="29"/>
        <v>927</v>
      </c>
    </row>
    <row r="234" spans="12:21" x14ac:dyDescent="0.25">
      <c r="L234" s="5">
        <f t="shared" si="27"/>
        <v>232.25</v>
      </c>
      <c r="M234" s="39">
        <v>199</v>
      </c>
      <c r="N234" s="159">
        <f t="shared" si="30"/>
        <v>232.25</v>
      </c>
      <c r="O234" s="38">
        <f t="shared" si="31"/>
        <v>0.5</v>
      </c>
      <c r="Q234" s="3">
        <v>199</v>
      </c>
      <c r="R234" s="39">
        <v>232.25</v>
      </c>
      <c r="S234" s="2">
        <f t="shared" si="28"/>
        <v>199</v>
      </c>
      <c r="T234" s="38">
        <v>0.5</v>
      </c>
      <c r="U234" s="160">
        <f t="shared" si="29"/>
        <v>929</v>
      </c>
    </row>
    <row r="235" spans="12:21" x14ac:dyDescent="0.25">
      <c r="L235" s="5">
        <f t="shared" si="27"/>
        <v>232.75</v>
      </c>
      <c r="M235" s="39">
        <v>200</v>
      </c>
      <c r="N235" s="159">
        <f t="shared" si="30"/>
        <v>232.75</v>
      </c>
      <c r="O235" s="38">
        <f t="shared" si="31"/>
        <v>0.5</v>
      </c>
      <c r="Q235" s="3">
        <v>200</v>
      </c>
      <c r="R235" s="39">
        <v>232.75</v>
      </c>
      <c r="S235" s="2">
        <f t="shared" si="28"/>
        <v>200</v>
      </c>
      <c r="T235" s="38">
        <v>0.5</v>
      </c>
      <c r="U235" s="160">
        <f t="shared" si="29"/>
        <v>931</v>
      </c>
    </row>
    <row r="236" spans="12:21" x14ac:dyDescent="0.25">
      <c r="L236" s="5">
        <f t="shared" si="27"/>
        <v>233</v>
      </c>
      <c r="M236" s="39">
        <v>201</v>
      </c>
      <c r="N236" s="159">
        <f t="shared" si="30"/>
        <v>233</v>
      </c>
      <c r="O236" s="38">
        <f t="shared" si="31"/>
        <v>0.25</v>
      </c>
      <c r="Q236" s="3">
        <v>201</v>
      </c>
      <c r="R236" s="39">
        <v>233</v>
      </c>
      <c r="S236" s="2">
        <f t="shared" si="28"/>
        <v>201</v>
      </c>
      <c r="T236" s="38">
        <v>0.25</v>
      </c>
      <c r="U236" s="160">
        <f t="shared" si="29"/>
        <v>932</v>
      </c>
    </row>
    <row r="237" spans="12:21" x14ac:dyDescent="0.25">
      <c r="L237" s="5">
        <f t="shared" si="27"/>
        <v>233.5</v>
      </c>
      <c r="M237" s="39">
        <v>202</v>
      </c>
      <c r="N237" s="159">
        <f t="shared" si="30"/>
        <v>233.5</v>
      </c>
      <c r="O237" s="38">
        <f t="shared" si="31"/>
        <v>0.5</v>
      </c>
      <c r="Q237" s="3">
        <v>202</v>
      </c>
      <c r="R237" s="39">
        <v>233.5</v>
      </c>
      <c r="S237" s="2">
        <f t="shared" si="28"/>
        <v>202</v>
      </c>
      <c r="T237" s="38">
        <v>0.5</v>
      </c>
      <c r="U237" s="160">
        <f t="shared" si="29"/>
        <v>934</v>
      </c>
    </row>
    <row r="238" spans="12:21" x14ac:dyDescent="0.25">
      <c r="L238" s="5">
        <f t="shared" si="27"/>
        <v>233.75</v>
      </c>
      <c r="M238" s="39">
        <v>203</v>
      </c>
      <c r="N238" s="159">
        <f t="shared" si="30"/>
        <v>233.75</v>
      </c>
      <c r="O238" s="38">
        <f t="shared" si="31"/>
        <v>0.25</v>
      </c>
      <c r="Q238" s="3">
        <v>203</v>
      </c>
      <c r="R238" s="39">
        <v>233.75</v>
      </c>
      <c r="S238" s="2">
        <f t="shared" si="28"/>
        <v>203</v>
      </c>
      <c r="T238" s="38">
        <v>0.25</v>
      </c>
      <c r="U238" s="160">
        <f t="shared" si="29"/>
        <v>935</v>
      </c>
    </row>
    <row r="239" spans="12:21" x14ac:dyDescent="0.25">
      <c r="L239" s="5">
        <f t="shared" si="27"/>
        <v>234.25</v>
      </c>
      <c r="M239" s="39">
        <v>204</v>
      </c>
      <c r="N239" s="159">
        <f t="shared" si="30"/>
        <v>234.25</v>
      </c>
      <c r="O239" s="38">
        <f t="shared" si="31"/>
        <v>0.5</v>
      </c>
      <c r="Q239" s="3">
        <v>204</v>
      </c>
      <c r="R239" s="39">
        <v>234.25</v>
      </c>
      <c r="S239" s="2">
        <f t="shared" si="28"/>
        <v>204</v>
      </c>
      <c r="T239" s="38">
        <v>0.5</v>
      </c>
      <c r="U239" s="160">
        <f t="shared" si="29"/>
        <v>937</v>
      </c>
    </row>
    <row r="240" spans="12:21" x14ac:dyDescent="0.25">
      <c r="L240" s="5">
        <f t="shared" si="27"/>
        <v>234.75</v>
      </c>
      <c r="M240" s="39">
        <v>205</v>
      </c>
      <c r="N240" s="159">
        <f t="shared" si="30"/>
        <v>234.75</v>
      </c>
      <c r="O240" s="38">
        <f t="shared" si="31"/>
        <v>0.5</v>
      </c>
      <c r="Q240" s="3">
        <v>205</v>
      </c>
      <c r="R240" s="39">
        <v>234.75</v>
      </c>
      <c r="S240" s="2">
        <f t="shared" si="28"/>
        <v>205</v>
      </c>
      <c r="T240" s="38">
        <v>0.5</v>
      </c>
      <c r="U240" s="160">
        <f t="shared" si="29"/>
        <v>939</v>
      </c>
    </row>
    <row r="241" spans="12:21" x14ac:dyDescent="0.25">
      <c r="L241" s="5">
        <f t="shared" si="27"/>
        <v>235.25</v>
      </c>
      <c r="M241" s="39">
        <v>206</v>
      </c>
      <c r="N241" s="159">
        <f t="shared" si="30"/>
        <v>235.25</v>
      </c>
      <c r="O241" s="38">
        <f t="shared" si="31"/>
        <v>0.5</v>
      </c>
      <c r="Q241" s="3">
        <v>206</v>
      </c>
      <c r="R241" s="39">
        <v>235.25</v>
      </c>
      <c r="S241" s="2">
        <f t="shared" si="28"/>
        <v>206</v>
      </c>
      <c r="T241" s="38">
        <v>0.5</v>
      </c>
      <c r="U241" s="160">
        <f t="shared" si="29"/>
        <v>941</v>
      </c>
    </row>
    <row r="242" spans="12:21" x14ac:dyDescent="0.25">
      <c r="L242" s="5">
        <f t="shared" si="27"/>
        <v>235.75</v>
      </c>
      <c r="M242" s="39">
        <v>207</v>
      </c>
      <c r="N242" s="159">
        <f t="shared" si="30"/>
        <v>235.75</v>
      </c>
      <c r="O242" s="38">
        <f t="shared" si="31"/>
        <v>0.5</v>
      </c>
      <c r="Q242" s="3">
        <v>207</v>
      </c>
      <c r="R242" s="39">
        <v>235.75</v>
      </c>
      <c r="S242" s="2">
        <f t="shared" si="28"/>
        <v>207</v>
      </c>
      <c r="T242" s="38">
        <v>0.5</v>
      </c>
      <c r="U242" s="160">
        <f t="shared" si="29"/>
        <v>943</v>
      </c>
    </row>
    <row r="243" spans="12:21" x14ac:dyDescent="0.25">
      <c r="L243" s="5">
        <f t="shared" si="27"/>
        <v>236.25</v>
      </c>
      <c r="M243" s="39">
        <v>208</v>
      </c>
      <c r="N243" s="159">
        <f t="shared" si="30"/>
        <v>236.25</v>
      </c>
      <c r="O243" s="38">
        <f t="shared" si="31"/>
        <v>0.5</v>
      </c>
      <c r="Q243" s="3">
        <v>208</v>
      </c>
      <c r="R243" s="39">
        <v>236.25</v>
      </c>
      <c r="S243" s="2">
        <f t="shared" si="28"/>
        <v>208</v>
      </c>
      <c r="T243" s="38">
        <v>0.5</v>
      </c>
      <c r="U243" s="160">
        <f t="shared" si="29"/>
        <v>945</v>
      </c>
    </row>
    <row r="244" spans="12:21" x14ac:dyDescent="0.25">
      <c r="L244" s="5">
        <f t="shared" si="27"/>
        <v>236.75</v>
      </c>
      <c r="M244" s="39">
        <v>209</v>
      </c>
      <c r="N244" s="159">
        <f t="shared" si="30"/>
        <v>236.75</v>
      </c>
      <c r="O244" s="38">
        <f t="shared" si="31"/>
        <v>0.5</v>
      </c>
      <c r="Q244" s="3">
        <v>209</v>
      </c>
      <c r="R244" s="39">
        <v>236.75</v>
      </c>
      <c r="S244" s="2">
        <f t="shared" si="28"/>
        <v>209</v>
      </c>
      <c r="T244" s="38">
        <v>0.5</v>
      </c>
      <c r="U244" s="160">
        <f t="shared" si="29"/>
        <v>947</v>
      </c>
    </row>
    <row r="245" spans="12:21" x14ac:dyDescent="0.25">
      <c r="L245" s="5">
        <f t="shared" si="27"/>
        <v>237</v>
      </c>
      <c r="M245" s="39">
        <v>210</v>
      </c>
      <c r="N245" s="159">
        <f t="shared" si="30"/>
        <v>237</v>
      </c>
      <c r="O245" s="38">
        <f t="shared" si="31"/>
        <v>0.25</v>
      </c>
      <c r="Q245" s="3">
        <v>210</v>
      </c>
      <c r="R245" s="39">
        <v>237</v>
      </c>
      <c r="S245" s="2">
        <f t="shared" si="28"/>
        <v>210</v>
      </c>
      <c r="T245" s="38">
        <v>0.25</v>
      </c>
      <c r="U245" s="160">
        <f t="shared" si="29"/>
        <v>948</v>
      </c>
    </row>
    <row r="246" spans="12:21" x14ac:dyDescent="0.25">
      <c r="L246" s="5">
        <f t="shared" si="27"/>
        <v>237.5</v>
      </c>
      <c r="M246" s="39">
        <v>211</v>
      </c>
      <c r="N246" s="159">
        <f t="shared" si="30"/>
        <v>237.5</v>
      </c>
      <c r="O246" s="38">
        <f t="shared" si="31"/>
        <v>0.5</v>
      </c>
      <c r="Q246" s="3">
        <v>211</v>
      </c>
      <c r="R246" s="39">
        <v>237.5</v>
      </c>
      <c r="S246" s="2">
        <f t="shared" si="28"/>
        <v>211</v>
      </c>
      <c r="T246" s="38">
        <v>0.5</v>
      </c>
      <c r="U246" s="160">
        <f t="shared" si="29"/>
        <v>950</v>
      </c>
    </row>
    <row r="247" spans="12:21" x14ac:dyDescent="0.25">
      <c r="L247" s="5">
        <f t="shared" si="27"/>
        <v>238</v>
      </c>
      <c r="M247" s="39">
        <v>212</v>
      </c>
      <c r="N247" s="159">
        <f t="shared" si="30"/>
        <v>238</v>
      </c>
      <c r="O247" s="38">
        <f t="shared" si="31"/>
        <v>0.5</v>
      </c>
      <c r="Q247" s="3">
        <v>212</v>
      </c>
      <c r="R247" s="39">
        <v>238</v>
      </c>
      <c r="S247" s="2">
        <f t="shared" si="28"/>
        <v>212</v>
      </c>
      <c r="T247" s="38">
        <v>0.5</v>
      </c>
      <c r="U247" s="160">
        <f t="shared" si="29"/>
        <v>952</v>
      </c>
    </row>
    <row r="248" spans="12:21" x14ac:dyDescent="0.25">
      <c r="L248" s="5">
        <f t="shared" si="27"/>
        <v>238.5</v>
      </c>
      <c r="M248" s="39">
        <v>213</v>
      </c>
      <c r="N248" s="159">
        <f t="shared" si="30"/>
        <v>238.5</v>
      </c>
      <c r="O248" s="38">
        <f t="shared" si="31"/>
        <v>0.5</v>
      </c>
      <c r="Q248" s="3">
        <v>213</v>
      </c>
      <c r="R248" s="39">
        <v>238.5</v>
      </c>
      <c r="S248" s="2">
        <f t="shared" si="28"/>
        <v>213</v>
      </c>
      <c r="T248" s="38">
        <v>0.5</v>
      </c>
      <c r="U248" s="160">
        <f t="shared" si="29"/>
        <v>954</v>
      </c>
    </row>
    <row r="249" spans="12:21" x14ac:dyDescent="0.25">
      <c r="L249" s="5">
        <f t="shared" si="27"/>
        <v>238.75</v>
      </c>
      <c r="M249" s="39">
        <v>214</v>
      </c>
      <c r="N249" s="159">
        <f t="shared" si="30"/>
        <v>238.75</v>
      </c>
      <c r="O249" s="38">
        <f t="shared" si="31"/>
        <v>0.25</v>
      </c>
      <c r="Q249" s="3">
        <v>214</v>
      </c>
      <c r="R249" s="39">
        <v>238.75</v>
      </c>
      <c r="S249" s="2">
        <f t="shared" si="28"/>
        <v>214</v>
      </c>
      <c r="T249" s="38">
        <v>0.25</v>
      </c>
      <c r="U249" s="160">
        <f t="shared" si="29"/>
        <v>955</v>
      </c>
    </row>
    <row r="250" spans="12:21" x14ac:dyDescent="0.25">
      <c r="L250" s="5">
        <f t="shared" si="27"/>
        <v>239.25</v>
      </c>
      <c r="M250" s="39">
        <v>215</v>
      </c>
      <c r="N250" s="159">
        <f t="shared" si="30"/>
        <v>239.25</v>
      </c>
      <c r="O250" s="38">
        <f t="shared" si="31"/>
        <v>0.5</v>
      </c>
      <c r="Q250" s="3">
        <v>215</v>
      </c>
      <c r="R250" s="39">
        <v>239.25</v>
      </c>
      <c r="S250" s="2">
        <f t="shared" si="28"/>
        <v>215</v>
      </c>
      <c r="T250" s="38">
        <v>0.5</v>
      </c>
      <c r="U250" s="160">
        <f t="shared" si="29"/>
        <v>957</v>
      </c>
    </row>
    <row r="251" spans="12:21" x14ac:dyDescent="0.25">
      <c r="L251" s="5">
        <f t="shared" si="27"/>
        <v>239.75</v>
      </c>
      <c r="M251" s="39">
        <v>216</v>
      </c>
      <c r="N251" s="159">
        <f t="shared" si="30"/>
        <v>239.75</v>
      </c>
      <c r="O251" s="38">
        <f t="shared" si="31"/>
        <v>0.5</v>
      </c>
      <c r="Q251" s="3">
        <v>216</v>
      </c>
      <c r="R251" s="39">
        <v>239.75</v>
      </c>
      <c r="S251" s="2">
        <f t="shared" si="28"/>
        <v>216</v>
      </c>
      <c r="T251" s="38">
        <v>0.5</v>
      </c>
      <c r="U251" s="160">
        <f t="shared" si="29"/>
        <v>959</v>
      </c>
    </row>
    <row r="252" spans="12:21" x14ac:dyDescent="0.25">
      <c r="L252" s="5">
        <f t="shared" si="27"/>
        <v>240.25</v>
      </c>
      <c r="M252" s="39">
        <v>217</v>
      </c>
      <c r="N252" s="159">
        <f t="shared" si="30"/>
        <v>240.25</v>
      </c>
      <c r="O252" s="38">
        <f t="shared" si="31"/>
        <v>0.5</v>
      </c>
      <c r="Q252" s="3">
        <v>217</v>
      </c>
      <c r="R252" s="39">
        <v>240.25</v>
      </c>
      <c r="S252" s="2">
        <f t="shared" si="28"/>
        <v>217</v>
      </c>
      <c r="T252" s="38">
        <v>0.5</v>
      </c>
      <c r="U252" s="160">
        <f t="shared" si="29"/>
        <v>961</v>
      </c>
    </row>
    <row r="253" spans="12:21" x14ac:dyDescent="0.25">
      <c r="L253" s="5">
        <f t="shared" si="27"/>
        <v>240.75</v>
      </c>
      <c r="M253" s="39">
        <v>218</v>
      </c>
      <c r="N253" s="159">
        <f t="shared" si="30"/>
        <v>240.75</v>
      </c>
      <c r="O253" s="38">
        <f t="shared" si="31"/>
        <v>0.5</v>
      </c>
      <c r="Q253" s="3">
        <v>218</v>
      </c>
      <c r="R253" s="39">
        <v>240.75</v>
      </c>
      <c r="S253" s="2">
        <f t="shared" si="28"/>
        <v>218</v>
      </c>
      <c r="T253" s="38">
        <v>0.5</v>
      </c>
      <c r="U253" s="160">
        <f t="shared" si="29"/>
        <v>963</v>
      </c>
    </row>
    <row r="254" spans="12:21" x14ac:dyDescent="0.25">
      <c r="L254" s="5">
        <f t="shared" si="27"/>
        <v>241</v>
      </c>
      <c r="M254" s="39">
        <v>219</v>
      </c>
      <c r="N254" s="159">
        <f t="shared" si="30"/>
        <v>241</v>
      </c>
      <c r="O254" s="38">
        <f t="shared" si="31"/>
        <v>0.25</v>
      </c>
      <c r="Q254" s="3">
        <v>219</v>
      </c>
      <c r="R254" s="39">
        <v>241</v>
      </c>
      <c r="S254" s="2">
        <f t="shared" si="28"/>
        <v>219</v>
      </c>
      <c r="T254" s="38">
        <v>0.25</v>
      </c>
      <c r="U254" s="160">
        <f t="shared" si="29"/>
        <v>964</v>
      </c>
    </row>
    <row r="255" spans="12:21" x14ac:dyDescent="0.25">
      <c r="L255" s="5">
        <f t="shared" si="27"/>
        <v>241.5</v>
      </c>
      <c r="M255" s="39">
        <v>220</v>
      </c>
      <c r="N255" s="159">
        <f t="shared" si="30"/>
        <v>241.5</v>
      </c>
      <c r="O255" s="38">
        <f t="shared" si="31"/>
        <v>0.5</v>
      </c>
      <c r="Q255" s="3">
        <v>220</v>
      </c>
      <c r="R255" s="39">
        <v>241.5</v>
      </c>
      <c r="S255" s="2">
        <f t="shared" si="28"/>
        <v>220</v>
      </c>
      <c r="T255" s="38">
        <v>0.5</v>
      </c>
      <c r="U255" s="160">
        <f t="shared" si="29"/>
        <v>966</v>
      </c>
    </row>
    <row r="256" spans="12:21" x14ac:dyDescent="0.25">
      <c r="L256" s="5">
        <f t="shared" si="27"/>
        <v>241.75</v>
      </c>
      <c r="M256" s="39">
        <v>221</v>
      </c>
      <c r="N256" s="159">
        <f t="shared" si="30"/>
        <v>241.75</v>
      </c>
      <c r="O256" s="38">
        <f t="shared" si="31"/>
        <v>0.25</v>
      </c>
      <c r="Q256" s="3">
        <v>221</v>
      </c>
      <c r="R256" s="39">
        <v>241.75</v>
      </c>
      <c r="S256" s="2">
        <f t="shared" si="28"/>
        <v>221</v>
      </c>
      <c r="T256" s="38">
        <v>0.25</v>
      </c>
      <c r="U256" s="160">
        <f t="shared" si="29"/>
        <v>967</v>
      </c>
    </row>
    <row r="257" spans="12:21" x14ac:dyDescent="0.25">
      <c r="L257" s="5">
        <f t="shared" si="27"/>
        <v>242.25</v>
      </c>
      <c r="M257" s="39">
        <v>222</v>
      </c>
      <c r="N257" s="159">
        <f t="shared" si="30"/>
        <v>242.25</v>
      </c>
      <c r="O257" s="38">
        <f t="shared" si="31"/>
        <v>0.5</v>
      </c>
      <c r="Q257" s="3">
        <v>222</v>
      </c>
      <c r="R257" s="39">
        <v>242.25</v>
      </c>
      <c r="S257" s="2">
        <f t="shared" si="28"/>
        <v>222</v>
      </c>
      <c r="T257" s="38">
        <v>0.5</v>
      </c>
      <c r="U257" s="160">
        <f t="shared" si="29"/>
        <v>969</v>
      </c>
    </row>
    <row r="258" spans="12:21" x14ac:dyDescent="0.25">
      <c r="L258" s="5">
        <f t="shared" si="27"/>
        <v>242.75</v>
      </c>
      <c r="M258" s="39">
        <v>223</v>
      </c>
      <c r="N258" s="159">
        <f t="shared" si="30"/>
        <v>242.75</v>
      </c>
      <c r="O258" s="38">
        <f t="shared" si="31"/>
        <v>0.5</v>
      </c>
      <c r="Q258" s="3">
        <v>223</v>
      </c>
      <c r="R258" s="39">
        <v>242.75</v>
      </c>
      <c r="S258" s="2">
        <f t="shared" si="28"/>
        <v>223</v>
      </c>
      <c r="T258" s="38">
        <v>0.5</v>
      </c>
      <c r="U258" s="160">
        <f t="shared" si="29"/>
        <v>971</v>
      </c>
    </row>
    <row r="259" spans="12:21" x14ac:dyDescent="0.25">
      <c r="L259" s="5">
        <f t="shared" si="27"/>
        <v>243</v>
      </c>
      <c r="M259" s="39">
        <v>224</v>
      </c>
      <c r="N259" s="159">
        <f t="shared" si="30"/>
        <v>243</v>
      </c>
      <c r="O259" s="38">
        <f t="shared" si="31"/>
        <v>0.25</v>
      </c>
      <c r="Q259" s="3">
        <v>224</v>
      </c>
      <c r="R259" s="39">
        <v>243</v>
      </c>
      <c r="S259" s="2">
        <f t="shared" si="28"/>
        <v>224</v>
      </c>
      <c r="T259" s="38">
        <v>0.25</v>
      </c>
      <c r="U259" s="160">
        <f t="shared" si="29"/>
        <v>972</v>
      </c>
    </row>
    <row r="260" spans="12:21" x14ac:dyDescent="0.25">
      <c r="L260" s="5">
        <f t="shared" si="27"/>
        <v>243.5</v>
      </c>
      <c r="M260" s="39">
        <v>225</v>
      </c>
      <c r="N260" s="159">
        <f t="shared" si="30"/>
        <v>243.5</v>
      </c>
      <c r="O260" s="38">
        <f t="shared" si="31"/>
        <v>0.5</v>
      </c>
      <c r="Q260" s="3">
        <v>225</v>
      </c>
      <c r="R260" s="39">
        <v>243.5</v>
      </c>
      <c r="S260" s="2">
        <f t="shared" si="28"/>
        <v>225</v>
      </c>
      <c r="T260" s="38">
        <v>0.5</v>
      </c>
      <c r="U260" s="160">
        <f t="shared" si="29"/>
        <v>974</v>
      </c>
    </row>
    <row r="261" spans="12:21" x14ac:dyDescent="0.25">
      <c r="L261" s="5">
        <f t="shared" si="27"/>
        <v>243.75</v>
      </c>
      <c r="M261" s="39">
        <v>226</v>
      </c>
      <c r="N261" s="159">
        <f t="shared" si="30"/>
        <v>243.75</v>
      </c>
      <c r="O261" s="38">
        <f t="shared" si="31"/>
        <v>0.25</v>
      </c>
      <c r="Q261" s="3">
        <v>226</v>
      </c>
      <c r="R261" s="39">
        <v>243.75</v>
      </c>
      <c r="S261" s="2">
        <f t="shared" si="28"/>
        <v>226</v>
      </c>
      <c r="T261" s="38">
        <v>0.25</v>
      </c>
      <c r="U261" s="160">
        <f t="shared" si="29"/>
        <v>975</v>
      </c>
    </row>
    <row r="262" spans="12:21" x14ac:dyDescent="0.25">
      <c r="L262" s="5">
        <f t="shared" si="27"/>
        <v>244</v>
      </c>
      <c r="M262" s="39">
        <v>227</v>
      </c>
      <c r="N262" s="159">
        <f t="shared" si="30"/>
        <v>244</v>
      </c>
      <c r="O262" s="38">
        <f t="shared" si="31"/>
        <v>0.25</v>
      </c>
      <c r="Q262" s="3">
        <v>227</v>
      </c>
      <c r="R262" s="39">
        <v>244</v>
      </c>
      <c r="S262" s="2">
        <f t="shared" si="28"/>
        <v>227</v>
      </c>
      <c r="T262" s="38">
        <v>0.25</v>
      </c>
      <c r="U262" s="160">
        <f t="shared" si="29"/>
        <v>976</v>
      </c>
    </row>
    <row r="263" spans="12:21" x14ac:dyDescent="0.25">
      <c r="L263" s="5">
        <f t="shared" si="27"/>
        <v>244.5</v>
      </c>
      <c r="M263" s="39">
        <v>228</v>
      </c>
      <c r="N263" s="159">
        <f t="shared" si="30"/>
        <v>244.5</v>
      </c>
      <c r="O263" s="38">
        <f t="shared" si="31"/>
        <v>0.5</v>
      </c>
      <c r="Q263" s="3">
        <v>228</v>
      </c>
      <c r="R263" s="39">
        <v>244.5</v>
      </c>
      <c r="S263" s="2">
        <f t="shared" si="28"/>
        <v>228</v>
      </c>
      <c r="T263" s="38">
        <v>0.5</v>
      </c>
      <c r="U263" s="160">
        <f t="shared" si="29"/>
        <v>978</v>
      </c>
    </row>
    <row r="264" spans="12:21" x14ac:dyDescent="0.25">
      <c r="L264" s="5">
        <f t="shared" si="27"/>
        <v>245</v>
      </c>
      <c r="M264" s="39">
        <v>229</v>
      </c>
      <c r="N264" s="159">
        <f t="shared" si="30"/>
        <v>245</v>
      </c>
      <c r="O264" s="38">
        <f t="shared" si="31"/>
        <v>0.5</v>
      </c>
      <c r="Q264" s="3">
        <v>229</v>
      </c>
      <c r="R264" s="39">
        <v>245</v>
      </c>
      <c r="S264" s="2">
        <f t="shared" si="28"/>
        <v>229</v>
      </c>
      <c r="T264" s="38">
        <v>0.5</v>
      </c>
      <c r="U264" s="160">
        <f t="shared" si="29"/>
        <v>980</v>
      </c>
    </row>
    <row r="265" spans="12:21" x14ac:dyDescent="0.25">
      <c r="L265" s="5">
        <f t="shared" si="27"/>
        <v>245.5</v>
      </c>
      <c r="M265" s="39">
        <v>230</v>
      </c>
      <c r="N265" s="159">
        <f t="shared" si="30"/>
        <v>245.5</v>
      </c>
      <c r="O265" s="38">
        <f t="shared" si="31"/>
        <v>0.5</v>
      </c>
      <c r="Q265" s="3">
        <v>230</v>
      </c>
      <c r="R265" s="39">
        <v>245.5</v>
      </c>
      <c r="S265" s="2">
        <f t="shared" si="28"/>
        <v>230</v>
      </c>
      <c r="T265" s="38">
        <v>0.5</v>
      </c>
      <c r="U265" s="160">
        <f t="shared" si="29"/>
        <v>982</v>
      </c>
    </row>
    <row r="266" spans="12:21" x14ac:dyDescent="0.25">
      <c r="L266" s="5">
        <f t="shared" si="27"/>
        <v>245.75</v>
      </c>
      <c r="M266" s="39">
        <v>231</v>
      </c>
      <c r="N266" s="159">
        <f t="shared" si="30"/>
        <v>245.75</v>
      </c>
      <c r="O266" s="38">
        <f t="shared" si="31"/>
        <v>0.25</v>
      </c>
      <c r="Q266" s="3">
        <v>231</v>
      </c>
      <c r="R266" s="39">
        <v>245.75</v>
      </c>
      <c r="S266" s="2">
        <f t="shared" si="28"/>
        <v>231</v>
      </c>
      <c r="T266" s="38">
        <v>0.25</v>
      </c>
      <c r="U266" s="160">
        <f t="shared" si="29"/>
        <v>983</v>
      </c>
    </row>
    <row r="267" spans="12:21" x14ac:dyDescent="0.25">
      <c r="L267" s="5">
        <f t="shared" si="27"/>
        <v>246.25</v>
      </c>
      <c r="M267" s="39">
        <v>232</v>
      </c>
      <c r="N267" s="159">
        <f t="shared" si="30"/>
        <v>246.25</v>
      </c>
      <c r="O267" s="38">
        <f t="shared" si="31"/>
        <v>0.5</v>
      </c>
      <c r="Q267" s="3">
        <v>232</v>
      </c>
      <c r="R267" s="39">
        <v>246.25</v>
      </c>
      <c r="S267" s="2">
        <f t="shared" si="28"/>
        <v>232</v>
      </c>
      <c r="T267" s="38">
        <v>0.5</v>
      </c>
      <c r="U267" s="160">
        <f t="shared" si="29"/>
        <v>985</v>
      </c>
    </row>
    <row r="268" spans="12:21" x14ac:dyDescent="0.25">
      <c r="L268" s="5">
        <f t="shared" si="27"/>
        <v>246.75</v>
      </c>
      <c r="M268" s="39">
        <v>233</v>
      </c>
      <c r="N268" s="159">
        <f t="shared" si="30"/>
        <v>246.75</v>
      </c>
      <c r="O268" s="38">
        <f t="shared" si="31"/>
        <v>0.5</v>
      </c>
      <c r="Q268" s="3">
        <v>233</v>
      </c>
      <c r="R268" s="39">
        <v>246.75</v>
      </c>
      <c r="S268" s="2">
        <f t="shared" si="28"/>
        <v>233</v>
      </c>
      <c r="T268" s="38">
        <v>0.5</v>
      </c>
      <c r="U268" s="160">
        <f t="shared" si="29"/>
        <v>987</v>
      </c>
    </row>
    <row r="269" spans="12:21" x14ac:dyDescent="0.25">
      <c r="L269" s="5">
        <f t="shared" si="27"/>
        <v>247</v>
      </c>
      <c r="M269" s="39">
        <v>234</v>
      </c>
      <c r="N269" s="159">
        <f t="shared" si="30"/>
        <v>247</v>
      </c>
      <c r="O269" s="38">
        <f t="shared" si="31"/>
        <v>0.25</v>
      </c>
      <c r="Q269" s="3">
        <v>234</v>
      </c>
      <c r="R269" s="39">
        <v>247</v>
      </c>
      <c r="S269" s="2">
        <f t="shared" si="28"/>
        <v>234</v>
      </c>
      <c r="T269" s="38">
        <v>0.25</v>
      </c>
      <c r="U269" s="160">
        <f t="shared" si="29"/>
        <v>988</v>
      </c>
    </row>
    <row r="270" spans="12:21" x14ac:dyDescent="0.25">
      <c r="L270" s="5">
        <f t="shared" si="27"/>
        <v>247.5</v>
      </c>
      <c r="M270" s="39">
        <v>235</v>
      </c>
      <c r="N270" s="159">
        <f t="shared" si="30"/>
        <v>247.5</v>
      </c>
      <c r="O270" s="38">
        <f t="shared" si="31"/>
        <v>0.5</v>
      </c>
      <c r="Q270" s="3">
        <v>235</v>
      </c>
      <c r="R270" s="39">
        <v>247.5</v>
      </c>
      <c r="S270" s="2">
        <f t="shared" si="28"/>
        <v>235</v>
      </c>
      <c r="T270" s="38">
        <v>0.5</v>
      </c>
      <c r="U270" s="160">
        <f t="shared" si="29"/>
        <v>990</v>
      </c>
    </row>
    <row r="271" spans="12:21" x14ac:dyDescent="0.25">
      <c r="L271" s="5">
        <f t="shared" si="27"/>
        <v>248</v>
      </c>
      <c r="M271" s="39">
        <v>236</v>
      </c>
      <c r="N271" s="159">
        <f t="shared" si="30"/>
        <v>248</v>
      </c>
      <c r="O271" s="38">
        <f t="shared" si="31"/>
        <v>0.5</v>
      </c>
      <c r="Q271" s="3">
        <v>236</v>
      </c>
      <c r="R271" s="39">
        <v>248</v>
      </c>
      <c r="S271" s="2">
        <f t="shared" si="28"/>
        <v>236</v>
      </c>
      <c r="T271" s="38">
        <v>0.5</v>
      </c>
      <c r="U271" s="160">
        <f t="shared" si="29"/>
        <v>992</v>
      </c>
    </row>
    <row r="272" spans="12:21" x14ac:dyDescent="0.25">
      <c r="L272" s="5">
        <f t="shared" si="27"/>
        <v>248.5</v>
      </c>
      <c r="M272" s="39">
        <v>237</v>
      </c>
      <c r="N272" s="159">
        <f t="shared" si="30"/>
        <v>248.5</v>
      </c>
      <c r="O272" s="38">
        <f t="shared" si="31"/>
        <v>0.5</v>
      </c>
      <c r="Q272" s="3">
        <v>237</v>
      </c>
      <c r="R272" s="39">
        <v>248.5</v>
      </c>
      <c r="S272" s="2">
        <f t="shared" si="28"/>
        <v>237</v>
      </c>
      <c r="T272" s="38">
        <v>0.5</v>
      </c>
      <c r="U272" s="160">
        <f t="shared" si="29"/>
        <v>994</v>
      </c>
    </row>
    <row r="273" spans="12:21" x14ac:dyDescent="0.25">
      <c r="L273" s="5">
        <f t="shared" si="27"/>
        <v>248.75</v>
      </c>
      <c r="M273" s="39">
        <v>238</v>
      </c>
      <c r="N273" s="159">
        <f t="shared" si="30"/>
        <v>248.75</v>
      </c>
      <c r="O273" s="38">
        <f t="shared" si="31"/>
        <v>0.25</v>
      </c>
      <c r="Q273" s="3">
        <v>238</v>
      </c>
      <c r="R273" s="39">
        <v>248.75</v>
      </c>
      <c r="S273" s="2">
        <f t="shared" si="28"/>
        <v>238</v>
      </c>
      <c r="T273" s="38">
        <v>0.25</v>
      </c>
      <c r="U273" s="160">
        <f t="shared" si="29"/>
        <v>995</v>
      </c>
    </row>
    <row r="274" spans="12:21" x14ac:dyDescent="0.25">
      <c r="L274" s="5">
        <f t="shared" si="27"/>
        <v>249.25</v>
      </c>
      <c r="M274" s="39">
        <v>239</v>
      </c>
      <c r="N274" s="159">
        <f t="shared" si="30"/>
        <v>249.25</v>
      </c>
      <c r="O274" s="38">
        <f t="shared" si="31"/>
        <v>0.5</v>
      </c>
      <c r="Q274" s="3">
        <v>239</v>
      </c>
      <c r="R274" s="39">
        <v>249.25</v>
      </c>
      <c r="S274" s="2">
        <f t="shared" si="28"/>
        <v>239</v>
      </c>
      <c r="T274" s="38">
        <v>0.5</v>
      </c>
      <c r="U274" s="160">
        <f t="shared" si="29"/>
        <v>997</v>
      </c>
    </row>
    <row r="275" spans="12:21" x14ac:dyDescent="0.25">
      <c r="L275" s="5">
        <f t="shared" si="27"/>
        <v>249.75</v>
      </c>
      <c r="M275" s="39">
        <v>240</v>
      </c>
      <c r="N275" s="159">
        <f t="shared" si="30"/>
        <v>249.75</v>
      </c>
      <c r="O275" s="38">
        <f t="shared" si="31"/>
        <v>0.5</v>
      </c>
      <c r="Q275" s="3">
        <v>240</v>
      </c>
      <c r="R275" s="39">
        <v>249.75</v>
      </c>
      <c r="S275" s="2">
        <f t="shared" si="28"/>
        <v>240</v>
      </c>
      <c r="T275" s="38">
        <v>0.5</v>
      </c>
      <c r="U275" s="160">
        <f t="shared" si="29"/>
        <v>999</v>
      </c>
    </row>
    <row r="276" spans="12:21" x14ac:dyDescent="0.25">
      <c r="L276" s="5">
        <f t="shared" si="27"/>
        <v>250.25</v>
      </c>
      <c r="M276" s="39">
        <v>241</v>
      </c>
      <c r="N276" s="159">
        <f t="shared" si="30"/>
        <v>250.25</v>
      </c>
      <c r="O276" s="38">
        <f t="shared" si="31"/>
        <v>0.5</v>
      </c>
      <c r="Q276" s="3">
        <v>241</v>
      </c>
      <c r="R276" s="39">
        <v>250.25</v>
      </c>
      <c r="S276" s="2">
        <f t="shared" si="28"/>
        <v>241</v>
      </c>
      <c r="T276" s="38">
        <v>0.5</v>
      </c>
      <c r="U276" s="160">
        <f t="shared" si="29"/>
        <v>1001</v>
      </c>
    </row>
    <row r="277" spans="12:21" x14ac:dyDescent="0.25">
      <c r="L277" s="5">
        <f t="shared" si="27"/>
        <v>250.75</v>
      </c>
      <c r="M277" s="39">
        <v>242</v>
      </c>
      <c r="N277" s="159">
        <f t="shared" si="30"/>
        <v>250.75</v>
      </c>
      <c r="O277" s="38">
        <f t="shared" si="31"/>
        <v>0.5</v>
      </c>
      <c r="Q277" s="3">
        <v>242</v>
      </c>
      <c r="R277" s="39">
        <v>250.75</v>
      </c>
      <c r="S277" s="2">
        <f t="shared" si="28"/>
        <v>242</v>
      </c>
      <c r="T277" s="38">
        <v>0.5</v>
      </c>
      <c r="U277" s="160">
        <f t="shared" si="29"/>
        <v>1003</v>
      </c>
    </row>
    <row r="278" spans="12:21" x14ac:dyDescent="0.25">
      <c r="L278" s="5">
        <f t="shared" si="27"/>
        <v>251</v>
      </c>
      <c r="M278" s="39">
        <v>243</v>
      </c>
      <c r="N278" s="159">
        <f t="shared" si="30"/>
        <v>251</v>
      </c>
      <c r="O278" s="38">
        <f t="shared" si="31"/>
        <v>0.25</v>
      </c>
      <c r="Q278" s="3">
        <v>243</v>
      </c>
      <c r="R278" s="39">
        <v>251</v>
      </c>
      <c r="S278" s="2">
        <f t="shared" si="28"/>
        <v>243</v>
      </c>
      <c r="T278" s="38">
        <v>0.25</v>
      </c>
      <c r="U278" s="160">
        <f t="shared" si="29"/>
        <v>1004</v>
      </c>
    </row>
    <row r="279" spans="12:21" x14ac:dyDescent="0.25">
      <c r="L279" s="5">
        <f t="shared" si="27"/>
        <v>251.25</v>
      </c>
      <c r="M279" s="39">
        <v>244</v>
      </c>
      <c r="N279" s="159">
        <f t="shared" si="30"/>
        <v>251.25</v>
      </c>
      <c r="O279" s="38">
        <f t="shared" si="31"/>
        <v>0.25</v>
      </c>
      <c r="Q279" s="3">
        <v>244</v>
      </c>
      <c r="R279" s="39">
        <v>251.25</v>
      </c>
      <c r="S279" s="2">
        <f t="shared" si="28"/>
        <v>244</v>
      </c>
      <c r="T279" s="38">
        <v>0.25</v>
      </c>
      <c r="U279" s="160">
        <f t="shared" si="29"/>
        <v>1005</v>
      </c>
    </row>
    <row r="280" spans="12:21" x14ac:dyDescent="0.25">
      <c r="L280" s="5">
        <f t="shared" si="27"/>
        <v>251.75</v>
      </c>
      <c r="M280" s="39">
        <v>245</v>
      </c>
      <c r="N280" s="159">
        <f t="shared" si="30"/>
        <v>251.75</v>
      </c>
      <c r="O280" s="38">
        <f t="shared" si="31"/>
        <v>0.5</v>
      </c>
      <c r="Q280" s="3">
        <v>245</v>
      </c>
      <c r="R280" s="39">
        <v>251.75</v>
      </c>
      <c r="S280" s="2">
        <f t="shared" si="28"/>
        <v>245</v>
      </c>
      <c r="T280" s="38">
        <v>0.5</v>
      </c>
      <c r="U280" s="160">
        <f t="shared" si="29"/>
        <v>1007</v>
      </c>
    </row>
    <row r="281" spans="12:21" x14ac:dyDescent="0.25">
      <c r="L281" s="5">
        <f t="shared" si="27"/>
        <v>252</v>
      </c>
      <c r="M281" s="39">
        <v>246</v>
      </c>
      <c r="N281" s="159">
        <f t="shared" si="30"/>
        <v>252</v>
      </c>
      <c r="O281" s="38">
        <f t="shared" si="31"/>
        <v>0.25</v>
      </c>
      <c r="Q281" s="3">
        <v>246</v>
      </c>
      <c r="R281" s="39">
        <v>252</v>
      </c>
      <c r="S281" s="2">
        <f t="shared" si="28"/>
        <v>246</v>
      </c>
      <c r="T281" s="38">
        <v>0.25</v>
      </c>
      <c r="U281" s="160">
        <f t="shared" si="29"/>
        <v>1008</v>
      </c>
    </row>
    <row r="282" spans="12:21" x14ac:dyDescent="0.25">
      <c r="L282" s="5">
        <f t="shared" si="27"/>
        <v>252.5</v>
      </c>
      <c r="M282" s="39">
        <v>247</v>
      </c>
      <c r="N282" s="159">
        <f t="shared" si="30"/>
        <v>252.5</v>
      </c>
      <c r="O282" s="38">
        <f t="shared" si="31"/>
        <v>0.5</v>
      </c>
      <c r="Q282" s="3">
        <v>247</v>
      </c>
      <c r="R282" s="39">
        <v>252.5</v>
      </c>
      <c r="S282" s="2">
        <f t="shared" si="28"/>
        <v>247</v>
      </c>
      <c r="T282" s="38">
        <v>0.5</v>
      </c>
      <c r="U282" s="160">
        <f t="shared" si="29"/>
        <v>1010</v>
      </c>
    </row>
    <row r="283" spans="12:21" x14ac:dyDescent="0.25">
      <c r="L283" s="5">
        <f t="shared" si="27"/>
        <v>252.75</v>
      </c>
      <c r="M283" s="39">
        <v>248</v>
      </c>
      <c r="N283" s="159">
        <f t="shared" si="30"/>
        <v>252.75</v>
      </c>
      <c r="O283" s="38">
        <f t="shared" si="31"/>
        <v>0.25</v>
      </c>
      <c r="Q283" s="3">
        <v>248</v>
      </c>
      <c r="R283" s="39">
        <v>252.75</v>
      </c>
      <c r="S283" s="2">
        <f t="shared" si="28"/>
        <v>248</v>
      </c>
      <c r="T283" s="38">
        <v>0.25</v>
      </c>
      <c r="U283" s="160">
        <f t="shared" si="29"/>
        <v>1011</v>
      </c>
    </row>
    <row r="284" spans="12:21" x14ac:dyDescent="0.25">
      <c r="L284" s="5">
        <f t="shared" si="27"/>
        <v>253.25</v>
      </c>
      <c r="M284" s="39">
        <v>249</v>
      </c>
      <c r="N284" s="159">
        <f t="shared" si="30"/>
        <v>253.25</v>
      </c>
      <c r="O284" s="38">
        <f t="shared" si="31"/>
        <v>0.5</v>
      </c>
      <c r="Q284" s="3">
        <v>249</v>
      </c>
      <c r="R284" s="39">
        <v>253.25</v>
      </c>
      <c r="S284" s="2">
        <f t="shared" si="28"/>
        <v>249</v>
      </c>
      <c r="T284" s="38">
        <v>0.5</v>
      </c>
      <c r="U284" s="160">
        <f t="shared" si="29"/>
        <v>1013</v>
      </c>
    </row>
    <row r="285" spans="12:21" x14ac:dyDescent="0.25">
      <c r="L285" s="5">
        <f t="shared" si="27"/>
        <v>253.75</v>
      </c>
      <c r="M285" s="39">
        <v>250</v>
      </c>
      <c r="N285" s="159">
        <f t="shared" si="30"/>
        <v>253.75</v>
      </c>
      <c r="O285" s="38">
        <f t="shared" si="31"/>
        <v>0.5</v>
      </c>
      <c r="Q285" s="3">
        <v>250</v>
      </c>
      <c r="R285" s="39">
        <v>253.75</v>
      </c>
      <c r="S285" s="2">
        <f t="shared" si="28"/>
        <v>250</v>
      </c>
      <c r="T285" s="38">
        <v>0.5</v>
      </c>
      <c r="U285" s="160">
        <f t="shared" si="29"/>
        <v>1015</v>
      </c>
    </row>
    <row r="286" spans="12:21" x14ac:dyDescent="0.25">
      <c r="L286" s="5">
        <f t="shared" si="27"/>
        <v>254</v>
      </c>
      <c r="M286" s="39">
        <v>251</v>
      </c>
      <c r="N286" s="159">
        <f t="shared" si="30"/>
        <v>254</v>
      </c>
      <c r="O286" s="38">
        <f t="shared" si="31"/>
        <v>0.25</v>
      </c>
      <c r="Q286" s="39">
        <v>251</v>
      </c>
      <c r="R286" s="39">
        <v>254</v>
      </c>
      <c r="S286" s="2">
        <f t="shared" si="28"/>
        <v>251</v>
      </c>
      <c r="T286" s="38">
        <v>0.25</v>
      </c>
      <c r="U286" s="160">
        <f t="shared" si="29"/>
        <v>1016</v>
      </c>
    </row>
    <row r="287" spans="12:21" x14ac:dyDescent="0.25">
      <c r="L287" s="5">
        <f t="shared" si="27"/>
        <v>254.25</v>
      </c>
      <c r="M287" s="39">
        <v>252</v>
      </c>
      <c r="N287" s="159">
        <f t="shared" si="30"/>
        <v>254.25</v>
      </c>
      <c r="O287" s="38">
        <f t="shared" si="31"/>
        <v>0.25</v>
      </c>
      <c r="Q287" s="39">
        <v>252</v>
      </c>
      <c r="R287" s="39">
        <v>254.25</v>
      </c>
      <c r="S287" s="2">
        <f t="shared" si="28"/>
        <v>252</v>
      </c>
      <c r="T287" s="38">
        <v>0.25</v>
      </c>
      <c r="U287" s="160">
        <f t="shared" si="29"/>
        <v>1017</v>
      </c>
    </row>
    <row r="288" spans="12:21" x14ac:dyDescent="0.25">
      <c r="L288" s="5">
        <f t="shared" si="27"/>
        <v>254.75</v>
      </c>
      <c r="M288" s="39">
        <v>253</v>
      </c>
      <c r="N288" s="159">
        <f t="shared" si="30"/>
        <v>254.75</v>
      </c>
      <c r="O288" s="38">
        <f t="shared" si="31"/>
        <v>0.5</v>
      </c>
      <c r="Q288" s="39">
        <v>253</v>
      </c>
      <c r="R288" s="39">
        <v>254.75</v>
      </c>
      <c r="S288" s="2">
        <f t="shared" si="28"/>
        <v>253</v>
      </c>
      <c r="T288" s="38">
        <v>0.5</v>
      </c>
      <c r="U288" s="160">
        <f t="shared" si="29"/>
        <v>1019</v>
      </c>
    </row>
    <row r="289" spans="12:21" x14ac:dyDescent="0.25">
      <c r="L289" s="5">
        <f t="shared" si="27"/>
        <v>255</v>
      </c>
      <c r="M289" s="39">
        <v>254</v>
      </c>
      <c r="N289" s="159">
        <f t="shared" si="30"/>
        <v>255</v>
      </c>
      <c r="O289" s="38">
        <f t="shared" si="31"/>
        <v>0.25</v>
      </c>
      <c r="Q289" s="39">
        <v>254</v>
      </c>
      <c r="R289" s="39">
        <v>255</v>
      </c>
      <c r="S289" s="2">
        <f t="shared" si="28"/>
        <v>254</v>
      </c>
      <c r="T289" s="38">
        <v>0.25</v>
      </c>
      <c r="U289" s="160">
        <f t="shared" si="29"/>
        <v>1020</v>
      </c>
    </row>
    <row r="290" spans="12:21" x14ac:dyDescent="0.25">
      <c r="L290" s="5">
        <f t="shared" si="27"/>
        <v>255.5</v>
      </c>
      <c r="M290" s="39">
        <v>255</v>
      </c>
      <c r="N290" s="159">
        <f t="shared" si="30"/>
        <v>255.5</v>
      </c>
      <c r="O290" s="38">
        <f t="shared" si="31"/>
        <v>0.5</v>
      </c>
      <c r="Q290" s="39">
        <v>255</v>
      </c>
      <c r="R290" s="39">
        <v>255.5</v>
      </c>
      <c r="S290" s="2">
        <f t="shared" si="28"/>
        <v>255</v>
      </c>
      <c r="T290" s="38">
        <v>0.5</v>
      </c>
      <c r="U290" s="160">
        <f t="shared" si="29"/>
        <v>1022</v>
      </c>
    </row>
    <row r="291" spans="12:21" x14ac:dyDescent="0.25">
      <c r="L291" s="5">
        <f t="shared" si="27"/>
        <v>255.75</v>
      </c>
      <c r="M291" s="39">
        <v>256</v>
      </c>
      <c r="N291" s="39">
        <f>VALUE(RIGHT($S$2,LEN($S$2)-FIND("*",SUBSTITUTE($S$2," ","*",256),1)))/4</f>
        <v>255.75</v>
      </c>
      <c r="O291" s="38">
        <f t="shared" si="31"/>
        <v>0.25</v>
      </c>
      <c r="Q291" s="39">
        <v>256</v>
      </c>
      <c r="R291" s="39">
        <v>255.75</v>
      </c>
      <c r="S291" s="2">
        <f t="shared" si="28"/>
        <v>256</v>
      </c>
      <c r="T291" s="38">
        <v>0.25</v>
      </c>
      <c r="U291" s="160">
        <f t="shared" si="29"/>
        <v>1023</v>
      </c>
    </row>
  </sheetData>
  <mergeCells count="19">
    <mergeCell ref="L33:O33"/>
    <mergeCell ref="Q33:T33"/>
    <mergeCell ref="X2:AB5"/>
    <mergeCell ref="L6:M6"/>
    <mergeCell ref="L7:M7"/>
    <mergeCell ref="L8:M8"/>
    <mergeCell ref="L9:M9"/>
    <mergeCell ref="L2:N5"/>
    <mergeCell ref="O2:O5"/>
    <mergeCell ref="Q2:R5"/>
    <mergeCell ref="S2:W5"/>
    <mergeCell ref="B77:C80"/>
    <mergeCell ref="B81:C84"/>
    <mergeCell ref="B85:C88"/>
    <mergeCell ref="B2:I6"/>
    <mergeCell ref="J2:J3"/>
    <mergeCell ref="J4:J6"/>
    <mergeCell ref="B8:B9"/>
    <mergeCell ref="C8:J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zero">
                <anchor moveWithCells="1" sizeWithCells="1">
                  <from>
                    <xdr:col>18</xdr:col>
                    <xdr:colOff>628650</xdr:colOff>
                    <xdr:row>32</xdr:row>
                    <xdr:rowOff>0</xdr:rowOff>
                  </from>
                  <to>
                    <xdr:col>19</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346FA-785B-4513-8566-1E3722F00A8C}">
  <sheetPr codeName="工作表4"/>
  <dimension ref="A2:BC80"/>
  <sheetViews>
    <sheetView zoomScale="80" zoomScaleNormal="80" workbookViewId="0">
      <selection activeCell="B2" sqref="B2:R8"/>
    </sheetView>
  </sheetViews>
  <sheetFormatPr defaultRowHeight="16.5" x14ac:dyDescent="0.25"/>
  <cols>
    <col min="1" max="1" width="3.375" customWidth="1"/>
    <col min="6" max="6" width="9.625" bestFit="1" customWidth="1"/>
    <col min="19" max="19" width="3.375" customWidth="1"/>
    <col min="37" max="37" width="3.25" customWidth="1"/>
  </cols>
  <sheetData>
    <row r="2" spans="2:55" x14ac:dyDescent="0.25">
      <c r="B2" s="162" t="s">
        <v>53</v>
      </c>
      <c r="C2" s="163"/>
      <c r="D2" s="163"/>
      <c r="E2" s="163"/>
      <c r="F2" s="163"/>
      <c r="G2" s="163"/>
      <c r="H2" s="163"/>
      <c r="I2" s="163"/>
      <c r="J2" s="163"/>
      <c r="K2" s="163"/>
      <c r="L2" s="163"/>
      <c r="M2" s="163"/>
      <c r="N2" s="163"/>
      <c r="O2" s="163"/>
      <c r="P2" s="163"/>
      <c r="Q2" s="163"/>
      <c r="R2" s="163"/>
      <c r="T2" s="164" t="s">
        <v>46</v>
      </c>
      <c r="U2" s="164"/>
      <c r="V2" s="164"/>
      <c r="W2" s="164"/>
      <c r="X2" s="164"/>
      <c r="Y2" s="164"/>
      <c r="Z2" s="164"/>
      <c r="AA2" s="164"/>
      <c r="AB2" s="164"/>
      <c r="AC2" s="164"/>
      <c r="AD2" s="164"/>
      <c r="AE2" s="164"/>
      <c r="AF2" s="164"/>
      <c r="AG2" s="164"/>
      <c r="AH2" s="164"/>
      <c r="AI2" s="164"/>
      <c r="AJ2" s="164"/>
    </row>
    <row r="3" spans="2:55" ht="16.5" customHeight="1" x14ac:dyDescent="0.25">
      <c r="B3" s="163"/>
      <c r="C3" s="163"/>
      <c r="D3" s="163"/>
      <c r="E3" s="163"/>
      <c r="F3" s="163"/>
      <c r="G3" s="163"/>
      <c r="H3" s="163"/>
      <c r="I3" s="163"/>
      <c r="J3" s="163"/>
      <c r="K3" s="163"/>
      <c r="L3" s="163"/>
      <c r="M3" s="163"/>
      <c r="N3" s="163"/>
      <c r="O3" s="163"/>
      <c r="P3" s="163"/>
      <c r="Q3" s="163"/>
      <c r="R3" s="163"/>
      <c r="T3" s="174" t="s">
        <v>26</v>
      </c>
      <c r="U3" s="122" t="s">
        <v>0</v>
      </c>
      <c r="V3" s="140">
        <v>2</v>
      </c>
      <c r="W3" s="140">
        <v>5</v>
      </c>
      <c r="X3" s="140">
        <v>10</v>
      </c>
      <c r="Y3" s="140">
        <v>20</v>
      </c>
      <c r="Z3" s="140">
        <v>50</v>
      </c>
      <c r="AA3" s="140">
        <v>100</v>
      </c>
      <c r="AB3" s="140">
        <v>200</v>
      </c>
      <c r="AC3" s="140">
        <v>300</v>
      </c>
      <c r="AD3" s="140">
        <v>400</v>
      </c>
      <c r="AE3" s="140">
        <v>500</v>
      </c>
      <c r="AF3" s="140">
        <v>600</v>
      </c>
      <c r="AG3" s="140">
        <v>700</v>
      </c>
      <c r="AH3" s="140">
        <v>800</v>
      </c>
      <c r="AI3" s="140">
        <v>900</v>
      </c>
      <c r="AJ3" s="140">
        <v>1000</v>
      </c>
    </row>
    <row r="4" spans="2:55" ht="16.5" customHeight="1" x14ac:dyDescent="0.25">
      <c r="B4" s="163"/>
      <c r="C4" s="163"/>
      <c r="D4" s="163"/>
      <c r="E4" s="163"/>
      <c r="F4" s="163"/>
      <c r="G4" s="163"/>
      <c r="H4" s="163"/>
      <c r="I4" s="163"/>
      <c r="J4" s="163"/>
      <c r="K4" s="163"/>
      <c r="L4" s="163"/>
      <c r="M4" s="163"/>
      <c r="N4" s="163"/>
      <c r="O4" s="163"/>
      <c r="P4" s="163"/>
      <c r="Q4" s="163"/>
      <c r="R4" s="163"/>
      <c r="T4" s="174"/>
      <c r="U4" s="140" t="s">
        <v>31</v>
      </c>
      <c r="V4" s="147">
        <v>399</v>
      </c>
      <c r="W4" s="147">
        <v>377</v>
      </c>
      <c r="X4" s="147">
        <v>355</v>
      </c>
      <c r="Y4" s="147">
        <v>340</v>
      </c>
      <c r="Z4" s="147">
        <v>303</v>
      </c>
      <c r="AA4" s="147">
        <v>278</v>
      </c>
      <c r="AB4" s="147">
        <v>255</v>
      </c>
      <c r="AC4" s="147">
        <v>241</v>
      </c>
      <c r="AD4" s="147">
        <v>231</v>
      </c>
      <c r="AE4" s="147">
        <v>224</v>
      </c>
      <c r="AF4" s="147">
        <v>215</v>
      </c>
      <c r="AG4" s="147">
        <v>211</v>
      </c>
      <c r="AH4" s="147">
        <v>206</v>
      </c>
      <c r="AI4" s="147">
        <v>203</v>
      </c>
      <c r="AJ4" s="147">
        <v>199</v>
      </c>
    </row>
    <row r="5" spans="2:55" ht="16.5" customHeight="1" x14ac:dyDescent="0.25">
      <c r="B5" s="163"/>
      <c r="C5" s="163"/>
      <c r="D5" s="163"/>
      <c r="E5" s="163"/>
      <c r="F5" s="163"/>
      <c r="G5" s="163"/>
      <c r="H5" s="163"/>
      <c r="I5" s="163"/>
      <c r="J5" s="163"/>
      <c r="K5" s="163"/>
      <c r="L5" s="163"/>
      <c r="M5" s="163"/>
      <c r="N5" s="163"/>
      <c r="O5" s="163"/>
      <c r="P5" s="163"/>
      <c r="Q5" s="163"/>
      <c r="R5" s="163"/>
      <c r="T5" s="168" t="s">
        <v>27</v>
      </c>
      <c r="U5" s="227" t="s">
        <v>3</v>
      </c>
      <c r="V5" s="231">
        <f>AVERAGE(V36:V39)</f>
        <v>0</v>
      </c>
      <c r="W5" s="223">
        <f t="shared" ref="W5:AJ5" si="0">AVERAGE(W36:W39)</f>
        <v>0</v>
      </c>
      <c r="X5" s="223">
        <f t="shared" si="0"/>
        <v>0</v>
      </c>
      <c r="Y5" s="223">
        <f t="shared" si="0"/>
        <v>0</v>
      </c>
      <c r="Z5" s="223">
        <f t="shared" si="0"/>
        <v>0</v>
      </c>
      <c r="AA5" s="223">
        <f t="shared" si="0"/>
        <v>0</v>
      </c>
      <c r="AB5" s="223">
        <f t="shared" si="0"/>
        <v>0</v>
      </c>
      <c r="AC5" s="223">
        <f t="shared" si="0"/>
        <v>0</v>
      </c>
      <c r="AD5" s="223">
        <f t="shared" si="0"/>
        <v>0</v>
      </c>
      <c r="AE5" s="223">
        <f t="shared" si="0"/>
        <v>0</v>
      </c>
      <c r="AF5" s="223">
        <f t="shared" si="0"/>
        <v>0</v>
      </c>
      <c r="AG5" s="223">
        <f t="shared" si="0"/>
        <v>0</v>
      </c>
      <c r="AH5" s="223">
        <f t="shared" si="0"/>
        <v>0</v>
      </c>
      <c r="AI5" s="223">
        <f t="shared" si="0"/>
        <v>0</v>
      </c>
      <c r="AJ5" s="225">
        <f t="shared" si="0"/>
        <v>0</v>
      </c>
    </row>
    <row r="6" spans="2:55" ht="16.5" customHeight="1" x14ac:dyDescent="0.25">
      <c r="B6" s="163"/>
      <c r="C6" s="163"/>
      <c r="D6" s="163"/>
      <c r="E6" s="163"/>
      <c r="F6" s="163"/>
      <c r="G6" s="163"/>
      <c r="H6" s="163"/>
      <c r="I6" s="163"/>
      <c r="J6" s="163"/>
      <c r="K6" s="163"/>
      <c r="L6" s="163"/>
      <c r="M6" s="163"/>
      <c r="N6" s="163"/>
      <c r="O6" s="163"/>
      <c r="P6" s="163"/>
      <c r="Q6" s="163"/>
      <c r="R6" s="163"/>
      <c r="T6" s="169"/>
      <c r="U6" s="228"/>
      <c r="V6" s="232"/>
      <c r="W6" s="224"/>
      <c r="X6" s="224"/>
      <c r="Y6" s="224"/>
      <c r="Z6" s="224"/>
      <c r="AA6" s="224"/>
      <c r="AB6" s="224"/>
      <c r="AC6" s="224"/>
      <c r="AD6" s="224"/>
      <c r="AE6" s="224"/>
      <c r="AF6" s="224"/>
      <c r="AG6" s="224"/>
      <c r="AH6" s="224"/>
      <c r="AI6" s="224"/>
      <c r="AJ6" s="226"/>
    </row>
    <row r="7" spans="2:55" ht="16.5" customHeight="1" x14ac:dyDescent="0.25">
      <c r="B7" s="163"/>
      <c r="C7" s="163"/>
      <c r="D7" s="163"/>
      <c r="E7" s="163"/>
      <c r="F7" s="163"/>
      <c r="G7" s="163"/>
      <c r="H7" s="163"/>
      <c r="I7" s="163"/>
      <c r="J7" s="163"/>
      <c r="K7" s="163"/>
      <c r="L7" s="163"/>
      <c r="M7" s="163"/>
      <c r="N7" s="163"/>
      <c r="O7" s="163"/>
      <c r="P7" s="163"/>
      <c r="Q7" s="163"/>
      <c r="R7" s="163"/>
      <c r="T7" s="169"/>
      <c r="U7" s="227" t="s">
        <v>4</v>
      </c>
      <c r="V7" s="229">
        <f>AVERAGE(V40:V55)</f>
        <v>0</v>
      </c>
      <c r="W7" s="217">
        <f t="shared" ref="W7:AJ7" si="1">AVERAGE(W40:W55)</f>
        <v>0</v>
      </c>
      <c r="X7" s="217">
        <f t="shared" si="1"/>
        <v>0</v>
      </c>
      <c r="Y7" s="217">
        <f t="shared" si="1"/>
        <v>0</v>
      </c>
      <c r="Z7" s="217">
        <f t="shared" si="1"/>
        <v>0</v>
      </c>
      <c r="AA7" s="217">
        <f t="shared" si="1"/>
        <v>0</v>
      </c>
      <c r="AB7" s="217">
        <f t="shared" si="1"/>
        <v>0</v>
      </c>
      <c r="AC7" s="217">
        <f t="shared" si="1"/>
        <v>0</v>
      </c>
      <c r="AD7" s="217">
        <f t="shared" si="1"/>
        <v>0</v>
      </c>
      <c r="AE7" s="217">
        <f t="shared" si="1"/>
        <v>0</v>
      </c>
      <c r="AF7" s="217">
        <f t="shared" si="1"/>
        <v>0</v>
      </c>
      <c r="AG7" s="217">
        <f t="shared" si="1"/>
        <v>0</v>
      </c>
      <c r="AH7" s="217">
        <f t="shared" si="1"/>
        <v>0</v>
      </c>
      <c r="AI7" s="217">
        <f t="shared" si="1"/>
        <v>0</v>
      </c>
      <c r="AJ7" s="219">
        <f t="shared" si="1"/>
        <v>0</v>
      </c>
    </row>
    <row r="8" spans="2:55" ht="16.5" customHeight="1" x14ac:dyDescent="0.25">
      <c r="B8" s="163"/>
      <c r="C8" s="163"/>
      <c r="D8" s="163"/>
      <c r="E8" s="163"/>
      <c r="F8" s="163"/>
      <c r="G8" s="163"/>
      <c r="H8" s="163"/>
      <c r="I8" s="163"/>
      <c r="J8" s="163"/>
      <c r="K8" s="163"/>
      <c r="L8" s="163"/>
      <c r="M8" s="163"/>
      <c r="N8" s="163"/>
      <c r="O8" s="163"/>
      <c r="P8" s="163"/>
      <c r="Q8" s="163"/>
      <c r="R8" s="163"/>
      <c r="T8" s="170"/>
      <c r="U8" s="228"/>
      <c r="V8" s="230"/>
      <c r="W8" s="218"/>
      <c r="X8" s="218"/>
      <c r="Y8" s="218"/>
      <c r="Z8" s="218"/>
      <c r="AA8" s="218"/>
      <c r="AB8" s="218"/>
      <c r="AC8" s="218"/>
      <c r="AD8" s="218"/>
      <c r="AE8" s="218"/>
      <c r="AF8" s="218"/>
      <c r="AG8" s="218"/>
      <c r="AH8" s="218"/>
      <c r="AI8" s="218"/>
      <c r="AJ8" s="220"/>
    </row>
    <row r="10" spans="2:55" x14ac:dyDescent="0.25">
      <c r="B10" s="173" t="s">
        <v>28</v>
      </c>
      <c r="C10" s="173"/>
      <c r="D10" s="173"/>
      <c r="E10" s="173"/>
      <c r="F10" s="173"/>
      <c r="G10" s="173"/>
      <c r="H10" s="173"/>
      <c r="I10" s="173"/>
      <c r="J10" s="173"/>
      <c r="K10" s="173"/>
      <c r="L10" s="173"/>
      <c r="M10" s="173"/>
      <c r="N10" s="173"/>
      <c r="O10" s="173"/>
      <c r="P10" s="173"/>
      <c r="Q10" s="173"/>
      <c r="R10" s="173"/>
      <c r="T10" s="171" t="s">
        <v>30</v>
      </c>
      <c r="U10" s="221"/>
      <c r="V10" s="221"/>
      <c r="W10" s="221"/>
      <c r="X10" s="221"/>
      <c r="Y10" s="221"/>
      <c r="Z10" s="221"/>
      <c r="AA10" s="221"/>
      <c r="AB10" s="221"/>
      <c r="AC10" s="221"/>
      <c r="AD10" s="221"/>
      <c r="AE10" s="221"/>
      <c r="AF10" s="221"/>
      <c r="AG10" s="221"/>
      <c r="AH10" s="221"/>
      <c r="AI10" s="221"/>
      <c r="AJ10" s="222"/>
    </row>
    <row r="11" spans="2:55" x14ac:dyDescent="0.25">
      <c r="B11" s="136" t="s">
        <v>1</v>
      </c>
      <c r="C11" s="40" t="s">
        <v>0</v>
      </c>
      <c r="D11" s="134">
        <v>2</v>
      </c>
      <c r="E11" s="134">
        <v>5</v>
      </c>
      <c r="F11" s="134">
        <v>10</v>
      </c>
      <c r="G11" s="64">
        <v>20</v>
      </c>
      <c r="H11" s="134">
        <v>50</v>
      </c>
      <c r="I11" s="134">
        <v>100</v>
      </c>
      <c r="J11" s="134">
        <v>200</v>
      </c>
      <c r="K11" s="134">
        <v>300</v>
      </c>
      <c r="L11" s="134">
        <v>400</v>
      </c>
      <c r="M11" s="134">
        <v>500</v>
      </c>
      <c r="N11" s="134">
        <v>600</v>
      </c>
      <c r="O11" s="134">
        <v>700</v>
      </c>
      <c r="P11" s="134">
        <v>800</v>
      </c>
      <c r="Q11" s="134">
        <v>900</v>
      </c>
      <c r="R11" s="134">
        <v>1000</v>
      </c>
      <c r="S11" s="138"/>
      <c r="T11" s="136" t="s">
        <v>26</v>
      </c>
      <c r="U11" s="40" t="s">
        <v>0</v>
      </c>
      <c r="V11" s="136">
        <v>2</v>
      </c>
      <c r="W11" s="136">
        <v>5</v>
      </c>
      <c r="X11" s="136">
        <v>10</v>
      </c>
      <c r="Y11" s="41">
        <v>20</v>
      </c>
      <c r="Z11" s="136">
        <v>50</v>
      </c>
      <c r="AA11" s="136">
        <v>100</v>
      </c>
      <c r="AB11" s="136">
        <v>200</v>
      </c>
      <c r="AC11" s="136">
        <v>300</v>
      </c>
      <c r="AD11" s="136">
        <v>400</v>
      </c>
      <c r="AE11" s="136">
        <v>500</v>
      </c>
      <c r="AF11" s="136">
        <v>600</v>
      </c>
      <c r="AG11" s="134">
        <v>700</v>
      </c>
      <c r="AH11" s="136">
        <v>800</v>
      </c>
      <c r="AI11" s="136">
        <v>900</v>
      </c>
      <c r="AJ11" s="136">
        <v>1000</v>
      </c>
    </row>
    <row r="12" spans="2:55" x14ac:dyDescent="0.25">
      <c r="B12" s="165" t="s">
        <v>3</v>
      </c>
      <c r="C12" s="63">
        <v>1</v>
      </c>
      <c r="D12" s="69">
        <f>'0.AEpreCheck'!D12</f>
        <v>0</v>
      </c>
      <c r="E12" s="59">
        <f>'0.AEpreCheck'!E12</f>
        <v>0</v>
      </c>
      <c r="F12" s="59">
        <f>'0.AEpreCheck'!F12</f>
        <v>0</v>
      </c>
      <c r="G12" s="59">
        <f>'0.AEpreCheck'!G12</f>
        <v>0</v>
      </c>
      <c r="H12" s="59">
        <f>'0.AEpreCheck'!H12</f>
        <v>0</v>
      </c>
      <c r="I12" s="59">
        <f>'0.AEpreCheck'!I12</f>
        <v>0</v>
      </c>
      <c r="J12" s="59">
        <f>'0.AEpreCheck'!J12</f>
        <v>0</v>
      </c>
      <c r="K12" s="59">
        <f>'0.AEpreCheck'!K12</f>
        <v>0</v>
      </c>
      <c r="L12" s="59">
        <f>'0.AEpreCheck'!L12</f>
        <v>0</v>
      </c>
      <c r="M12" s="59">
        <f>'0.AEpreCheck'!M12</f>
        <v>0</v>
      </c>
      <c r="N12" s="59">
        <f>'0.AEpreCheck'!N12</f>
        <v>0</v>
      </c>
      <c r="O12" s="59">
        <f>'0.AEpreCheck'!O12</f>
        <v>0</v>
      </c>
      <c r="P12" s="59">
        <f>'0.AEpreCheck'!P12</f>
        <v>0</v>
      </c>
      <c r="Q12" s="59">
        <f>'0.AEpreCheck'!Q12</f>
        <v>0</v>
      </c>
      <c r="R12" s="133">
        <f>'0.AEpreCheck'!R12</f>
        <v>0</v>
      </c>
      <c r="S12" s="138"/>
      <c r="T12" s="165" t="s">
        <v>3</v>
      </c>
      <c r="U12" s="135">
        <v>1</v>
      </c>
      <c r="V12" s="138"/>
      <c r="W12" s="110"/>
      <c r="X12" s="138"/>
      <c r="Y12" s="110"/>
      <c r="Z12" s="110"/>
      <c r="AA12" s="138"/>
      <c r="AB12" s="110"/>
      <c r="AC12" s="110"/>
      <c r="AD12" s="110"/>
      <c r="AE12" s="138"/>
      <c r="AF12" s="110"/>
      <c r="AG12" s="110"/>
      <c r="AH12" s="110"/>
      <c r="AI12" s="110"/>
      <c r="AJ12" s="112"/>
      <c r="BC12" s="138"/>
    </row>
    <row r="13" spans="2:55" x14ac:dyDescent="0.25">
      <c r="B13" s="166"/>
      <c r="C13" s="40">
        <v>2</v>
      </c>
      <c r="D13" s="70">
        <f>'0.AEpreCheck'!D13</f>
        <v>0</v>
      </c>
      <c r="E13" s="3">
        <f>'0.AEpreCheck'!E13</f>
        <v>0</v>
      </c>
      <c r="F13" s="3">
        <f>'0.AEpreCheck'!F13</f>
        <v>0</v>
      </c>
      <c r="G13" s="3">
        <f>'0.AEpreCheck'!G13</f>
        <v>0</v>
      </c>
      <c r="H13" s="3">
        <f>'0.AEpreCheck'!H13</f>
        <v>0</v>
      </c>
      <c r="I13" s="3">
        <f>'0.AEpreCheck'!I13</f>
        <v>0</v>
      </c>
      <c r="J13" s="3">
        <f>'0.AEpreCheck'!J13</f>
        <v>0</v>
      </c>
      <c r="K13" s="3">
        <f>'0.AEpreCheck'!K13</f>
        <v>0</v>
      </c>
      <c r="L13" s="3">
        <f>'0.AEpreCheck'!L13</f>
        <v>0</v>
      </c>
      <c r="M13" s="3">
        <f>'0.AEpreCheck'!M13</f>
        <v>0</v>
      </c>
      <c r="N13" s="3">
        <f>'0.AEpreCheck'!N13</f>
        <v>0</v>
      </c>
      <c r="O13" s="3">
        <f>'0.AEpreCheck'!O13</f>
        <v>0</v>
      </c>
      <c r="P13" s="3">
        <f>'0.AEpreCheck'!P13</f>
        <v>0</v>
      </c>
      <c r="Q13" s="3">
        <f>'0.AEpreCheck'!Q13</f>
        <v>0</v>
      </c>
      <c r="R13" s="67">
        <f>'0.AEpreCheck'!R13</f>
        <v>0</v>
      </c>
      <c r="S13" s="138"/>
      <c r="T13" s="166"/>
      <c r="U13" s="136">
        <v>2</v>
      </c>
      <c r="V13" s="138"/>
      <c r="W13" s="137"/>
      <c r="X13" s="138"/>
      <c r="Y13" s="137"/>
      <c r="Z13" s="137"/>
      <c r="AA13" s="138"/>
      <c r="AB13" s="137"/>
      <c r="AC13" s="137"/>
      <c r="AD13" s="137"/>
      <c r="AE13" s="138"/>
      <c r="AF13" s="137"/>
      <c r="AG13" s="137"/>
      <c r="AH13" s="137"/>
      <c r="AI13" s="137"/>
      <c r="AJ13" s="108"/>
      <c r="BC13" s="138"/>
    </row>
    <row r="14" spans="2:55" x14ac:dyDescent="0.25">
      <c r="B14" s="166"/>
      <c r="C14" s="40">
        <v>3</v>
      </c>
      <c r="D14" s="70">
        <f>'0.AEpreCheck'!D14</f>
        <v>0</v>
      </c>
      <c r="E14" s="3">
        <f>'0.AEpreCheck'!E14</f>
        <v>0</v>
      </c>
      <c r="F14" s="3">
        <f>'0.AEpreCheck'!F14</f>
        <v>0</v>
      </c>
      <c r="G14" s="3">
        <f>'0.AEpreCheck'!G14</f>
        <v>0</v>
      </c>
      <c r="H14" s="3">
        <f>'0.AEpreCheck'!H14</f>
        <v>0</v>
      </c>
      <c r="I14" s="3">
        <f>'0.AEpreCheck'!I14</f>
        <v>0</v>
      </c>
      <c r="J14" s="3">
        <f>'0.AEpreCheck'!J14</f>
        <v>0</v>
      </c>
      <c r="K14" s="3">
        <f>'0.AEpreCheck'!K14</f>
        <v>0</v>
      </c>
      <c r="L14" s="3">
        <f>'0.AEpreCheck'!L14</f>
        <v>0</v>
      </c>
      <c r="M14" s="3">
        <f>'0.AEpreCheck'!M14</f>
        <v>0</v>
      </c>
      <c r="N14" s="3">
        <f>'0.AEpreCheck'!N14</f>
        <v>0</v>
      </c>
      <c r="O14" s="3">
        <f>'0.AEpreCheck'!O14</f>
        <v>0</v>
      </c>
      <c r="P14" s="3">
        <f>'0.AEpreCheck'!P14</f>
        <v>0</v>
      </c>
      <c r="Q14" s="3">
        <f>'0.AEpreCheck'!Q14</f>
        <v>0</v>
      </c>
      <c r="R14" s="67">
        <f>'0.AEpreCheck'!R14</f>
        <v>0</v>
      </c>
      <c r="S14" s="138"/>
      <c r="T14" s="166"/>
      <c r="U14" s="136">
        <v>3</v>
      </c>
      <c r="V14" s="138"/>
      <c r="W14" s="137"/>
      <c r="X14" s="138"/>
      <c r="Y14" s="137"/>
      <c r="Z14" s="137"/>
      <c r="AA14" s="138"/>
      <c r="AB14" s="137"/>
      <c r="AC14" s="137"/>
      <c r="AD14" s="137"/>
      <c r="AE14" s="138"/>
      <c r="AF14" s="137"/>
      <c r="AG14" s="137"/>
      <c r="AH14" s="137"/>
      <c r="AI14" s="137"/>
      <c r="AJ14" s="108"/>
      <c r="BC14" s="138"/>
    </row>
    <row r="15" spans="2:55" x14ac:dyDescent="0.25">
      <c r="B15" s="167"/>
      <c r="C15" s="40">
        <v>4</v>
      </c>
      <c r="D15" s="70">
        <f>'0.AEpreCheck'!D15</f>
        <v>0</v>
      </c>
      <c r="E15" s="3">
        <f>'0.AEpreCheck'!E15</f>
        <v>0</v>
      </c>
      <c r="F15" s="3">
        <f>'0.AEpreCheck'!F15</f>
        <v>0</v>
      </c>
      <c r="G15" s="3">
        <f>'0.AEpreCheck'!G15</f>
        <v>0</v>
      </c>
      <c r="H15" s="3">
        <f>'0.AEpreCheck'!H15</f>
        <v>0</v>
      </c>
      <c r="I15" s="3">
        <f>'0.AEpreCheck'!I15</f>
        <v>0</v>
      </c>
      <c r="J15" s="3">
        <f>'0.AEpreCheck'!J15</f>
        <v>0</v>
      </c>
      <c r="K15" s="3">
        <f>'0.AEpreCheck'!K15</f>
        <v>0</v>
      </c>
      <c r="L15" s="3">
        <f>'0.AEpreCheck'!L15</f>
        <v>0</v>
      </c>
      <c r="M15" s="3">
        <f>'0.AEpreCheck'!M15</f>
        <v>0</v>
      </c>
      <c r="N15" s="3">
        <f>'0.AEpreCheck'!N15</f>
        <v>0</v>
      </c>
      <c r="O15" s="3">
        <f>'0.AEpreCheck'!O15</f>
        <v>0</v>
      </c>
      <c r="P15" s="3">
        <f>'0.AEpreCheck'!P15</f>
        <v>0</v>
      </c>
      <c r="Q15" s="3">
        <f>'0.AEpreCheck'!Q15</f>
        <v>0</v>
      </c>
      <c r="R15" s="67">
        <f>'0.AEpreCheck'!R15</f>
        <v>0</v>
      </c>
      <c r="S15" s="138"/>
      <c r="T15" s="167"/>
      <c r="U15" s="136">
        <v>4</v>
      </c>
      <c r="V15" s="138"/>
      <c r="W15" s="137"/>
      <c r="X15" s="138"/>
      <c r="Y15" s="137"/>
      <c r="Z15" s="137"/>
      <c r="AA15" s="138"/>
      <c r="AB15" s="137"/>
      <c r="AC15" s="137"/>
      <c r="AD15" s="137"/>
      <c r="AE15" s="138"/>
      <c r="AF15" s="137"/>
      <c r="AG15" s="137"/>
      <c r="AH15" s="137"/>
      <c r="AI15" s="137"/>
      <c r="AJ15" s="108"/>
      <c r="BC15" s="138"/>
    </row>
    <row r="16" spans="2:55" x14ac:dyDescent="0.25">
      <c r="B16" s="165" t="s">
        <v>4</v>
      </c>
      <c r="C16" s="40">
        <v>5</v>
      </c>
      <c r="D16" s="70">
        <f>'0.AEpreCheck'!D16</f>
        <v>0</v>
      </c>
      <c r="E16" s="3">
        <f>'0.AEpreCheck'!E16</f>
        <v>0</v>
      </c>
      <c r="F16" s="3">
        <f>'0.AEpreCheck'!F16</f>
        <v>0</v>
      </c>
      <c r="G16" s="3">
        <f>'0.AEpreCheck'!G16</f>
        <v>0</v>
      </c>
      <c r="H16" s="3">
        <f>'0.AEpreCheck'!H16</f>
        <v>0</v>
      </c>
      <c r="I16" s="3">
        <f>'0.AEpreCheck'!I16</f>
        <v>0</v>
      </c>
      <c r="J16" s="3">
        <f>'0.AEpreCheck'!J16</f>
        <v>0</v>
      </c>
      <c r="K16" s="3">
        <f>'0.AEpreCheck'!K16</f>
        <v>0</v>
      </c>
      <c r="L16" s="3">
        <f>'0.AEpreCheck'!L16</f>
        <v>0</v>
      </c>
      <c r="M16" s="3">
        <f>'0.AEpreCheck'!M16</f>
        <v>0</v>
      </c>
      <c r="N16" s="3">
        <f>'0.AEpreCheck'!N16</f>
        <v>0</v>
      </c>
      <c r="O16" s="3">
        <f>'0.AEpreCheck'!O16</f>
        <v>0</v>
      </c>
      <c r="P16" s="3">
        <f>'0.AEpreCheck'!P16</f>
        <v>0</v>
      </c>
      <c r="Q16" s="3">
        <f>'0.AEpreCheck'!Q16</f>
        <v>0</v>
      </c>
      <c r="R16" s="67">
        <f>'0.AEpreCheck'!R16</f>
        <v>0</v>
      </c>
      <c r="S16" s="138"/>
      <c r="T16" s="165" t="s">
        <v>4</v>
      </c>
      <c r="U16" s="136">
        <v>5</v>
      </c>
      <c r="V16" s="138"/>
      <c r="W16" s="137"/>
      <c r="X16" s="138"/>
      <c r="Y16" s="137"/>
      <c r="Z16" s="137"/>
      <c r="AA16" s="138"/>
      <c r="AB16" s="137"/>
      <c r="AC16" s="137"/>
      <c r="AD16" s="137"/>
      <c r="AE16" s="138"/>
      <c r="AF16" s="137"/>
      <c r="AG16" s="137"/>
      <c r="AH16" s="137"/>
      <c r="AI16" s="137"/>
      <c r="AJ16" s="108"/>
      <c r="BC16" s="138"/>
    </row>
    <row r="17" spans="1:55" x14ac:dyDescent="0.25">
      <c r="B17" s="166"/>
      <c r="C17" s="40">
        <v>6</v>
      </c>
      <c r="D17" s="70">
        <f>'0.AEpreCheck'!D17</f>
        <v>0</v>
      </c>
      <c r="E17" s="3">
        <f>'0.AEpreCheck'!E17</f>
        <v>0</v>
      </c>
      <c r="F17" s="3">
        <f>'0.AEpreCheck'!F17</f>
        <v>0</v>
      </c>
      <c r="G17" s="3">
        <f>'0.AEpreCheck'!G17</f>
        <v>0</v>
      </c>
      <c r="H17" s="3">
        <f>'0.AEpreCheck'!H17</f>
        <v>0</v>
      </c>
      <c r="I17" s="3">
        <f>'0.AEpreCheck'!I17</f>
        <v>0</v>
      </c>
      <c r="J17" s="3">
        <f>'0.AEpreCheck'!J17</f>
        <v>0</v>
      </c>
      <c r="K17" s="3">
        <f>'0.AEpreCheck'!K17</f>
        <v>0</v>
      </c>
      <c r="L17" s="3">
        <f>'0.AEpreCheck'!L17</f>
        <v>0</v>
      </c>
      <c r="M17" s="3">
        <f>'0.AEpreCheck'!M17</f>
        <v>0</v>
      </c>
      <c r="N17" s="3">
        <f>'0.AEpreCheck'!N17</f>
        <v>0</v>
      </c>
      <c r="O17" s="3">
        <f>'0.AEpreCheck'!O17</f>
        <v>0</v>
      </c>
      <c r="P17" s="3">
        <f>'0.AEpreCheck'!P17</f>
        <v>0</v>
      </c>
      <c r="Q17" s="3">
        <f>'0.AEpreCheck'!Q17</f>
        <v>0</v>
      </c>
      <c r="R17" s="67">
        <f>'0.AEpreCheck'!R17</f>
        <v>0</v>
      </c>
      <c r="S17" s="138"/>
      <c r="T17" s="166"/>
      <c r="U17" s="136">
        <v>6</v>
      </c>
      <c r="V17" s="138"/>
      <c r="W17" s="137"/>
      <c r="X17" s="138"/>
      <c r="Y17" s="137"/>
      <c r="Z17" s="137"/>
      <c r="AA17" s="138"/>
      <c r="AB17" s="137"/>
      <c r="AC17" s="137"/>
      <c r="AD17" s="137"/>
      <c r="AE17" s="138"/>
      <c r="AF17" s="137"/>
      <c r="AG17" s="137"/>
      <c r="AH17" s="137"/>
      <c r="AI17" s="137"/>
      <c r="AJ17" s="108"/>
      <c r="BC17" s="138"/>
    </row>
    <row r="18" spans="1:55" x14ac:dyDescent="0.25">
      <c r="B18" s="166"/>
      <c r="C18" s="40">
        <v>7</v>
      </c>
      <c r="D18" s="70">
        <f>'0.AEpreCheck'!D18</f>
        <v>0</v>
      </c>
      <c r="E18" s="3">
        <f>'0.AEpreCheck'!E18</f>
        <v>0</v>
      </c>
      <c r="F18" s="3">
        <f>'0.AEpreCheck'!F18</f>
        <v>0</v>
      </c>
      <c r="G18" s="3">
        <f>'0.AEpreCheck'!G18</f>
        <v>0</v>
      </c>
      <c r="H18" s="3">
        <f>'0.AEpreCheck'!H18</f>
        <v>0</v>
      </c>
      <c r="I18" s="3">
        <f>'0.AEpreCheck'!I18</f>
        <v>0</v>
      </c>
      <c r="J18" s="3">
        <f>'0.AEpreCheck'!J18</f>
        <v>0</v>
      </c>
      <c r="K18" s="3">
        <f>'0.AEpreCheck'!K18</f>
        <v>0</v>
      </c>
      <c r="L18" s="3">
        <f>'0.AEpreCheck'!L18</f>
        <v>0</v>
      </c>
      <c r="M18" s="3">
        <f>'0.AEpreCheck'!M18</f>
        <v>0</v>
      </c>
      <c r="N18" s="3">
        <f>'0.AEpreCheck'!N18</f>
        <v>0</v>
      </c>
      <c r="O18" s="3">
        <f>'0.AEpreCheck'!O18</f>
        <v>0</v>
      </c>
      <c r="P18" s="3">
        <f>'0.AEpreCheck'!P18</f>
        <v>0</v>
      </c>
      <c r="Q18" s="3">
        <f>'0.AEpreCheck'!Q18</f>
        <v>0</v>
      </c>
      <c r="R18" s="67">
        <f>'0.AEpreCheck'!R18</f>
        <v>0</v>
      </c>
      <c r="S18" s="138"/>
      <c r="T18" s="166"/>
      <c r="U18" s="136">
        <v>7</v>
      </c>
      <c r="V18" s="138"/>
      <c r="W18" s="137"/>
      <c r="X18" s="138"/>
      <c r="Y18" s="137"/>
      <c r="Z18" s="137"/>
      <c r="AA18" s="138"/>
      <c r="AB18" s="137"/>
      <c r="AC18" s="137"/>
      <c r="AD18" s="137"/>
      <c r="AE18" s="138"/>
      <c r="AF18" s="137"/>
      <c r="AG18" s="137"/>
      <c r="AH18" s="137"/>
      <c r="AI18" s="137"/>
      <c r="AJ18" s="108"/>
      <c r="BC18" s="138"/>
    </row>
    <row r="19" spans="1:55" x14ac:dyDescent="0.25">
      <c r="B19" s="166"/>
      <c r="C19" s="40">
        <v>8</v>
      </c>
      <c r="D19" s="70">
        <f>'0.AEpreCheck'!D19</f>
        <v>0</v>
      </c>
      <c r="E19" s="3">
        <f>'0.AEpreCheck'!E19</f>
        <v>0</v>
      </c>
      <c r="F19" s="3">
        <f>'0.AEpreCheck'!F19</f>
        <v>0</v>
      </c>
      <c r="G19" s="3">
        <f>'0.AEpreCheck'!G19</f>
        <v>0</v>
      </c>
      <c r="H19" s="3">
        <f>'0.AEpreCheck'!H19</f>
        <v>0</v>
      </c>
      <c r="I19" s="3">
        <f>'0.AEpreCheck'!I19</f>
        <v>0</v>
      </c>
      <c r="J19" s="3">
        <f>'0.AEpreCheck'!J19</f>
        <v>0</v>
      </c>
      <c r="K19" s="3">
        <f>'0.AEpreCheck'!K19</f>
        <v>0</v>
      </c>
      <c r="L19" s="3">
        <f>'0.AEpreCheck'!L19</f>
        <v>0</v>
      </c>
      <c r="M19" s="3">
        <f>'0.AEpreCheck'!M19</f>
        <v>0</v>
      </c>
      <c r="N19" s="3">
        <f>'0.AEpreCheck'!N19</f>
        <v>0</v>
      </c>
      <c r="O19" s="3">
        <f>'0.AEpreCheck'!O19</f>
        <v>0</v>
      </c>
      <c r="P19" s="3">
        <f>'0.AEpreCheck'!P19</f>
        <v>0</v>
      </c>
      <c r="Q19" s="3">
        <f>'0.AEpreCheck'!Q19</f>
        <v>0</v>
      </c>
      <c r="R19" s="67">
        <f>'0.AEpreCheck'!R19</f>
        <v>0</v>
      </c>
      <c r="S19" s="138"/>
      <c r="T19" s="166"/>
      <c r="U19" s="136">
        <v>8</v>
      </c>
      <c r="V19" s="138"/>
      <c r="W19" s="137"/>
      <c r="X19" s="138"/>
      <c r="Y19" s="137"/>
      <c r="Z19" s="137"/>
      <c r="AA19" s="138"/>
      <c r="AB19" s="137"/>
      <c r="AC19" s="137"/>
      <c r="AD19" s="137"/>
      <c r="AE19" s="138"/>
      <c r="AF19" s="137"/>
      <c r="AG19" s="137"/>
      <c r="AH19" s="137"/>
      <c r="AI19" s="137"/>
      <c r="AJ19" s="108"/>
      <c r="BC19" s="138"/>
    </row>
    <row r="20" spans="1:55" x14ac:dyDescent="0.25">
      <c r="B20" s="166"/>
      <c r="C20" s="40">
        <v>9</v>
      </c>
      <c r="D20" s="70">
        <f>'0.AEpreCheck'!D20</f>
        <v>0</v>
      </c>
      <c r="E20" s="3">
        <f>'0.AEpreCheck'!E20</f>
        <v>0</v>
      </c>
      <c r="F20" s="3">
        <f>'0.AEpreCheck'!F20</f>
        <v>0</v>
      </c>
      <c r="G20" s="3">
        <f>'0.AEpreCheck'!G20</f>
        <v>0</v>
      </c>
      <c r="H20" s="3">
        <f>'0.AEpreCheck'!H20</f>
        <v>0</v>
      </c>
      <c r="I20" s="3">
        <f>'0.AEpreCheck'!I20</f>
        <v>0</v>
      </c>
      <c r="J20" s="3">
        <f>'0.AEpreCheck'!J20</f>
        <v>0</v>
      </c>
      <c r="K20" s="3">
        <f>'0.AEpreCheck'!K20</f>
        <v>0</v>
      </c>
      <c r="L20" s="3">
        <f>'0.AEpreCheck'!L20</f>
        <v>0</v>
      </c>
      <c r="M20" s="3">
        <f>'0.AEpreCheck'!M20</f>
        <v>0</v>
      </c>
      <c r="N20" s="3">
        <f>'0.AEpreCheck'!N20</f>
        <v>0</v>
      </c>
      <c r="O20" s="3">
        <f>'0.AEpreCheck'!O20</f>
        <v>0</v>
      </c>
      <c r="P20" s="3">
        <f>'0.AEpreCheck'!P20</f>
        <v>0</v>
      </c>
      <c r="Q20" s="3">
        <f>'0.AEpreCheck'!Q20</f>
        <v>0</v>
      </c>
      <c r="R20" s="67">
        <f>'0.AEpreCheck'!R20</f>
        <v>0</v>
      </c>
      <c r="S20" s="138"/>
      <c r="T20" s="166"/>
      <c r="U20" s="136">
        <v>9</v>
      </c>
      <c r="V20" s="138"/>
      <c r="W20" s="137"/>
      <c r="X20" s="138"/>
      <c r="Y20" s="137"/>
      <c r="Z20" s="137"/>
      <c r="AA20" s="138"/>
      <c r="AB20" s="137"/>
      <c r="AC20" s="137"/>
      <c r="AD20" s="137"/>
      <c r="AE20" s="138"/>
      <c r="AF20" s="137"/>
      <c r="AG20" s="137"/>
      <c r="AH20" s="137"/>
      <c r="AI20" s="137"/>
      <c r="AJ20" s="108"/>
      <c r="BC20" s="138"/>
    </row>
    <row r="21" spans="1:55" x14ac:dyDescent="0.25">
      <c r="B21" s="166"/>
      <c r="C21" s="40">
        <v>10</v>
      </c>
      <c r="D21" s="70">
        <f>'0.AEpreCheck'!D21</f>
        <v>0</v>
      </c>
      <c r="E21" s="3">
        <f>'0.AEpreCheck'!E21</f>
        <v>0</v>
      </c>
      <c r="F21" s="3">
        <f>'0.AEpreCheck'!F21</f>
        <v>0</v>
      </c>
      <c r="G21" s="3">
        <f>'0.AEpreCheck'!G21</f>
        <v>0</v>
      </c>
      <c r="H21" s="3">
        <f>'0.AEpreCheck'!H21</f>
        <v>0</v>
      </c>
      <c r="I21" s="3">
        <f>'0.AEpreCheck'!I21</f>
        <v>0</v>
      </c>
      <c r="J21" s="3">
        <f>'0.AEpreCheck'!J21</f>
        <v>0</v>
      </c>
      <c r="K21" s="3">
        <f>'0.AEpreCheck'!K21</f>
        <v>0</v>
      </c>
      <c r="L21" s="3">
        <f>'0.AEpreCheck'!L21</f>
        <v>0</v>
      </c>
      <c r="M21" s="3">
        <f>'0.AEpreCheck'!M21</f>
        <v>0</v>
      </c>
      <c r="N21" s="3">
        <f>'0.AEpreCheck'!N21</f>
        <v>0</v>
      </c>
      <c r="O21" s="3">
        <f>'0.AEpreCheck'!O21</f>
        <v>0</v>
      </c>
      <c r="P21" s="3">
        <f>'0.AEpreCheck'!P21</f>
        <v>0</v>
      </c>
      <c r="Q21" s="3">
        <f>'0.AEpreCheck'!Q21</f>
        <v>0</v>
      </c>
      <c r="R21" s="67">
        <f>'0.AEpreCheck'!R21</f>
        <v>0</v>
      </c>
      <c r="S21" s="138"/>
      <c r="T21" s="166"/>
      <c r="U21" s="136">
        <v>10</v>
      </c>
      <c r="V21" s="138"/>
      <c r="W21" s="137"/>
      <c r="X21" s="138"/>
      <c r="Y21" s="137"/>
      <c r="Z21" s="137"/>
      <c r="AA21" s="138"/>
      <c r="AB21" s="137"/>
      <c r="AC21" s="137"/>
      <c r="AD21" s="137"/>
      <c r="AE21" s="138"/>
      <c r="AF21" s="137"/>
      <c r="AG21" s="137"/>
      <c r="AH21" s="137"/>
      <c r="AI21" s="137"/>
      <c r="AJ21" s="108"/>
      <c r="BC21" s="138"/>
    </row>
    <row r="22" spans="1:55" x14ac:dyDescent="0.25">
      <c r="B22" s="166"/>
      <c r="C22" s="40">
        <v>11</v>
      </c>
      <c r="D22" s="70">
        <f>'0.AEpreCheck'!D22</f>
        <v>0</v>
      </c>
      <c r="E22" s="3">
        <f>'0.AEpreCheck'!E22</f>
        <v>0</v>
      </c>
      <c r="F22" s="3">
        <f>'0.AEpreCheck'!F22</f>
        <v>0</v>
      </c>
      <c r="G22" s="3">
        <f>'0.AEpreCheck'!G22</f>
        <v>0</v>
      </c>
      <c r="H22" s="3">
        <f>'0.AEpreCheck'!H22</f>
        <v>0</v>
      </c>
      <c r="I22" s="3">
        <f>'0.AEpreCheck'!I22</f>
        <v>0</v>
      </c>
      <c r="J22" s="3">
        <f>'0.AEpreCheck'!J22</f>
        <v>0</v>
      </c>
      <c r="K22" s="3">
        <f>'0.AEpreCheck'!K22</f>
        <v>0</v>
      </c>
      <c r="L22" s="3">
        <f>'0.AEpreCheck'!L22</f>
        <v>0</v>
      </c>
      <c r="M22" s="3">
        <f>'0.AEpreCheck'!M22</f>
        <v>0</v>
      </c>
      <c r="N22" s="3">
        <f>'0.AEpreCheck'!N22</f>
        <v>0</v>
      </c>
      <c r="O22" s="3">
        <f>'0.AEpreCheck'!O22</f>
        <v>0</v>
      </c>
      <c r="P22" s="3">
        <f>'0.AEpreCheck'!P22</f>
        <v>0</v>
      </c>
      <c r="Q22" s="3">
        <f>'0.AEpreCheck'!Q22</f>
        <v>0</v>
      </c>
      <c r="R22" s="67">
        <f>'0.AEpreCheck'!R22</f>
        <v>0</v>
      </c>
      <c r="S22" s="138"/>
      <c r="T22" s="166"/>
      <c r="U22" s="136">
        <v>11</v>
      </c>
      <c r="V22" s="138"/>
      <c r="W22" s="137"/>
      <c r="X22" s="138"/>
      <c r="Y22" s="137"/>
      <c r="Z22" s="137"/>
      <c r="AA22" s="138"/>
      <c r="AB22" s="137"/>
      <c r="AC22" s="137"/>
      <c r="AD22" s="137"/>
      <c r="AE22" s="138"/>
      <c r="AF22" s="137"/>
      <c r="AG22" s="137"/>
      <c r="AH22" s="137"/>
      <c r="AI22" s="137"/>
      <c r="AJ22" s="108"/>
      <c r="BC22" s="138"/>
    </row>
    <row r="23" spans="1:55" x14ac:dyDescent="0.25">
      <c r="B23" s="166"/>
      <c r="C23" s="40">
        <v>12</v>
      </c>
      <c r="D23" s="70">
        <f>'0.AEpreCheck'!D23</f>
        <v>0</v>
      </c>
      <c r="E23" s="3">
        <f>'0.AEpreCheck'!E23</f>
        <v>0</v>
      </c>
      <c r="F23" s="3">
        <f>'0.AEpreCheck'!F23</f>
        <v>0</v>
      </c>
      <c r="G23" s="3">
        <f>'0.AEpreCheck'!G23</f>
        <v>0</v>
      </c>
      <c r="H23" s="3">
        <f>'0.AEpreCheck'!H23</f>
        <v>0</v>
      </c>
      <c r="I23" s="3">
        <f>'0.AEpreCheck'!I23</f>
        <v>0</v>
      </c>
      <c r="J23" s="3">
        <f>'0.AEpreCheck'!J23</f>
        <v>0</v>
      </c>
      <c r="K23" s="3">
        <f>'0.AEpreCheck'!K23</f>
        <v>0</v>
      </c>
      <c r="L23" s="3">
        <f>'0.AEpreCheck'!L23</f>
        <v>0</v>
      </c>
      <c r="M23" s="3">
        <f>'0.AEpreCheck'!M23</f>
        <v>0</v>
      </c>
      <c r="N23" s="3">
        <f>'0.AEpreCheck'!N23</f>
        <v>0</v>
      </c>
      <c r="O23" s="3">
        <f>'0.AEpreCheck'!O23</f>
        <v>0</v>
      </c>
      <c r="P23" s="3">
        <f>'0.AEpreCheck'!P23</f>
        <v>0</v>
      </c>
      <c r="Q23" s="3">
        <f>'0.AEpreCheck'!Q23</f>
        <v>0</v>
      </c>
      <c r="R23" s="67">
        <f>'0.AEpreCheck'!R23</f>
        <v>0</v>
      </c>
      <c r="S23" s="138"/>
      <c r="T23" s="166"/>
      <c r="U23" s="136">
        <v>12</v>
      </c>
      <c r="V23" s="138"/>
      <c r="W23" s="137"/>
      <c r="X23" s="138"/>
      <c r="Y23" s="137"/>
      <c r="Z23" s="137"/>
      <c r="AA23" s="138"/>
      <c r="AB23" s="137"/>
      <c r="AC23" s="137"/>
      <c r="AD23" s="137"/>
      <c r="AE23" s="138"/>
      <c r="AF23" s="137"/>
      <c r="AG23" s="137"/>
      <c r="AH23" s="137"/>
      <c r="AI23" s="137"/>
      <c r="AJ23" s="108"/>
      <c r="BC23" s="138"/>
    </row>
    <row r="24" spans="1:55" x14ac:dyDescent="0.25">
      <c r="B24" s="166"/>
      <c r="C24" s="40">
        <v>13</v>
      </c>
      <c r="D24" s="70">
        <f>'0.AEpreCheck'!D24</f>
        <v>0</v>
      </c>
      <c r="E24" s="3">
        <f>'0.AEpreCheck'!E24</f>
        <v>0</v>
      </c>
      <c r="F24" s="3">
        <f>'0.AEpreCheck'!F24</f>
        <v>0</v>
      </c>
      <c r="G24" s="3">
        <f>'0.AEpreCheck'!G24</f>
        <v>0</v>
      </c>
      <c r="H24" s="3">
        <f>'0.AEpreCheck'!H24</f>
        <v>0</v>
      </c>
      <c r="I24" s="3">
        <f>'0.AEpreCheck'!I24</f>
        <v>0</v>
      </c>
      <c r="J24" s="3">
        <f>'0.AEpreCheck'!J24</f>
        <v>0</v>
      </c>
      <c r="K24" s="3">
        <f>'0.AEpreCheck'!K24</f>
        <v>0</v>
      </c>
      <c r="L24" s="3">
        <f>'0.AEpreCheck'!L24</f>
        <v>0</v>
      </c>
      <c r="M24" s="3">
        <f>'0.AEpreCheck'!M24</f>
        <v>0</v>
      </c>
      <c r="N24" s="3">
        <f>'0.AEpreCheck'!N24</f>
        <v>0</v>
      </c>
      <c r="O24" s="3">
        <f>'0.AEpreCheck'!O24</f>
        <v>0</v>
      </c>
      <c r="P24" s="3">
        <f>'0.AEpreCheck'!P24</f>
        <v>0</v>
      </c>
      <c r="Q24" s="3">
        <f>'0.AEpreCheck'!Q24</f>
        <v>0</v>
      </c>
      <c r="R24" s="67">
        <f>'0.AEpreCheck'!R24</f>
        <v>0</v>
      </c>
      <c r="S24" s="138"/>
      <c r="T24" s="166"/>
      <c r="U24" s="136">
        <v>13</v>
      </c>
      <c r="V24" s="138"/>
      <c r="W24" s="137"/>
      <c r="X24" s="138"/>
      <c r="Y24" s="137"/>
      <c r="Z24" s="137"/>
      <c r="AA24" s="138"/>
      <c r="AB24" s="137"/>
      <c r="AC24" s="137"/>
      <c r="AD24" s="137"/>
      <c r="AE24" s="138"/>
      <c r="AF24" s="137"/>
      <c r="AG24" s="137"/>
      <c r="AH24" s="137"/>
      <c r="AI24" s="137"/>
      <c r="AJ24" s="108"/>
      <c r="BC24" s="138"/>
    </row>
    <row r="25" spans="1:55" x14ac:dyDescent="0.25">
      <c r="B25" s="166"/>
      <c r="C25" s="40">
        <v>14</v>
      </c>
      <c r="D25" s="70">
        <f>'0.AEpreCheck'!D25</f>
        <v>0</v>
      </c>
      <c r="E25" s="3">
        <f>'0.AEpreCheck'!E25</f>
        <v>0</v>
      </c>
      <c r="F25" s="3">
        <f>'0.AEpreCheck'!F25</f>
        <v>0</v>
      </c>
      <c r="G25" s="3">
        <f>'0.AEpreCheck'!G25</f>
        <v>0</v>
      </c>
      <c r="H25" s="3">
        <f>'0.AEpreCheck'!H25</f>
        <v>0</v>
      </c>
      <c r="I25" s="3">
        <f>'0.AEpreCheck'!I25</f>
        <v>0</v>
      </c>
      <c r="J25" s="3">
        <f>'0.AEpreCheck'!J25</f>
        <v>0</v>
      </c>
      <c r="K25" s="3">
        <f>'0.AEpreCheck'!K25</f>
        <v>0</v>
      </c>
      <c r="L25" s="3">
        <f>'0.AEpreCheck'!L25</f>
        <v>0</v>
      </c>
      <c r="M25" s="3">
        <f>'0.AEpreCheck'!M25</f>
        <v>0</v>
      </c>
      <c r="N25" s="3">
        <f>'0.AEpreCheck'!N25</f>
        <v>0</v>
      </c>
      <c r="O25" s="3">
        <f>'0.AEpreCheck'!O25</f>
        <v>0</v>
      </c>
      <c r="P25" s="3">
        <f>'0.AEpreCheck'!P25</f>
        <v>0</v>
      </c>
      <c r="Q25" s="3">
        <f>'0.AEpreCheck'!Q25</f>
        <v>0</v>
      </c>
      <c r="R25" s="67">
        <f>'0.AEpreCheck'!R25</f>
        <v>0</v>
      </c>
      <c r="S25" s="138"/>
      <c r="T25" s="166"/>
      <c r="U25" s="136">
        <v>14</v>
      </c>
      <c r="V25" s="138"/>
      <c r="W25" s="137"/>
      <c r="X25" s="138"/>
      <c r="Y25" s="137"/>
      <c r="Z25" s="137"/>
      <c r="AA25" s="138"/>
      <c r="AB25" s="137"/>
      <c r="AC25" s="137"/>
      <c r="AD25" s="137"/>
      <c r="AE25" s="138"/>
      <c r="AF25" s="137"/>
      <c r="AG25" s="137"/>
      <c r="AH25" s="137"/>
      <c r="AI25" s="137"/>
      <c r="AJ25" s="108"/>
      <c r="BC25" s="138"/>
    </row>
    <row r="26" spans="1:55" x14ac:dyDescent="0.25">
      <c r="B26" s="166"/>
      <c r="C26" s="40">
        <v>15</v>
      </c>
      <c r="D26" s="70">
        <f>'0.AEpreCheck'!D26</f>
        <v>0</v>
      </c>
      <c r="E26" s="3">
        <f>'0.AEpreCheck'!E26</f>
        <v>0</v>
      </c>
      <c r="F26" s="3">
        <f>'0.AEpreCheck'!F26</f>
        <v>0</v>
      </c>
      <c r="G26" s="3">
        <f>'0.AEpreCheck'!G26</f>
        <v>0</v>
      </c>
      <c r="H26" s="3">
        <f>'0.AEpreCheck'!H26</f>
        <v>0</v>
      </c>
      <c r="I26" s="3">
        <f>'0.AEpreCheck'!I26</f>
        <v>0</v>
      </c>
      <c r="J26" s="3">
        <f>'0.AEpreCheck'!J26</f>
        <v>0</v>
      </c>
      <c r="K26" s="3">
        <f>'0.AEpreCheck'!K26</f>
        <v>0</v>
      </c>
      <c r="L26" s="3">
        <f>'0.AEpreCheck'!L26</f>
        <v>0</v>
      </c>
      <c r="M26" s="3">
        <f>'0.AEpreCheck'!M26</f>
        <v>0</v>
      </c>
      <c r="N26" s="3">
        <f>'0.AEpreCheck'!N26</f>
        <v>0</v>
      </c>
      <c r="O26" s="3">
        <f>'0.AEpreCheck'!O26</f>
        <v>0</v>
      </c>
      <c r="P26" s="3">
        <f>'0.AEpreCheck'!P26</f>
        <v>0</v>
      </c>
      <c r="Q26" s="3">
        <f>'0.AEpreCheck'!Q26</f>
        <v>0</v>
      </c>
      <c r="R26" s="67">
        <f>'0.AEpreCheck'!R26</f>
        <v>0</v>
      </c>
      <c r="S26" s="138"/>
      <c r="T26" s="166"/>
      <c r="U26" s="136">
        <v>15</v>
      </c>
      <c r="V26" s="138"/>
      <c r="W26" s="137"/>
      <c r="X26" s="138"/>
      <c r="Y26" s="137"/>
      <c r="Z26" s="137"/>
      <c r="AA26" s="138"/>
      <c r="AB26" s="137"/>
      <c r="AC26" s="137"/>
      <c r="AD26" s="137"/>
      <c r="AE26" s="138"/>
      <c r="AF26" s="137"/>
      <c r="AG26" s="137"/>
      <c r="AH26" s="137"/>
      <c r="AI26" s="137"/>
      <c r="AJ26" s="108"/>
      <c r="BC26" s="138"/>
    </row>
    <row r="27" spans="1:55" x14ac:dyDescent="0.25">
      <c r="B27" s="166"/>
      <c r="C27" s="40">
        <v>16</v>
      </c>
      <c r="D27" s="70">
        <f>'0.AEpreCheck'!D27</f>
        <v>0</v>
      </c>
      <c r="E27" s="3">
        <f>'0.AEpreCheck'!E27</f>
        <v>0</v>
      </c>
      <c r="F27" s="3">
        <f>'0.AEpreCheck'!F27</f>
        <v>0</v>
      </c>
      <c r="G27" s="3">
        <f>'0.AEpreCheck'!G27</f>
        <v>0</v>
      </c>
      <c r="H27" s="3">
        <f>'0.AEpreCheck'!H27</f>
        <v>0</v>
      </c>
      <c r="I27" s="3">
        <f>'0.AEpreCheck'!I27</f>
        <v>0</v>
      </c>
      <c r="J27" s="3">
        <f>'0.AEpreCheck'!J27</f>
        <v>0</v>
      </c>
      <c r="K27" s="3">
        <f>'0.AEpreCheck'!K27</f>
        <v>0</v>
      </c>
      <c r="L27" s="3">
        <f>'0.AEpreCheck'!L27</f>
        <v>0</v>
      </c>
      <c r="M27" s="3">
        <f>'0.AEpreCheck'!M27</f>
        <v>0</v>
      </c>
      <c r="N27" s="3">
        <f>'0.AEpreCheck'!N27</f>
        <v>0</v>
      </c>
      <c r="O27" s="3">
        <f>'0.AEpreCheck'!O27</f>
        <v>0</v>
      </c>
      <c r="P27" s="3">
        <f>'0.AEpreCheck'!P27</f>
        <v>0</v>
      </c>
      <c r="Q27" s="3">
        <f>'0.AEpreCheck'!Q27</f>
        <v>0</v>
      </c>
      <c r="R27" s="67">
        <f>'0.AEpreCheck'!R27</f>
        <v>0</v>
      </c>
      <c r="S27" s="138"/>
      <c r="T27" s="166"/>
      <c r="U27" s="136">
        <v>16</v>
      </c>
      <c r="V27" s="138"/>
      <c r="W27" s="137"/>
      <c r="X27" s="138"/>
      <c r="Y27" s="137"/>
      <c r="Z27" s="137"/>
      <c r="AA27" s="138"/>
      <c r="AB27" s="137"/>
      <c r="AC27" s="137"/>
      <c r="AD27" s="137"/>
      <c r="AE27" s="138"/>
      <c r="AF27" s="137"/>
      <c r="AG27" s="137"/>
      <c r="AH27" s="137"/>
      <c r="AI27" s="137"/>
      <c r="AJ27" s="108"/>
      <c r="BC27" s="138"/>
    </row>
    <row r="28" spans="1:55" x14ac:dyDescent="0.25">
      <c r="B28" s="166"/>
      <c r="C28" s="40">
        <v>17</v>
      </c>
      <c r="D28" s="70">
        <f>'0.AEpreCheck'!D28</f>
        <v>0</v>
      </c>
      <c r="E28" s="3">
        <f>'0.AEpreCheck'!E28</f>
        <v>0</v>
      </c>
      <c r="F28" s="3">
        <f>'0.AEpreCheck'!F28</f>
        <v>0</v>
      </c>
      <c r="G28" s="3">
        <f>'0.AEpreCheck'!G28</f>
        <v>0</v>
      </c>
      <c r="H28" s="3">
        <f>'0.AEpreCheck'!H28</f>
        <v>0</v>
      </c>
      <c r="I28" s="3">
        <f>'0.AEpreCheck'!I28</f>
        <v>0</v>
      </c>
      <c r="J28" s="3">
        <f>'0.AEpreCheck'!J28</f>
        <v>0</v>
      </c>
      <c r="K28" s="3">
        <f>'0.AEpreCheck'!K28</f>
        <v>0</v>
      </c>
      <c r="L28" s="3">
        <f>'0.AEpreCheck'!L28</f>
        <v>0</v>
      </c>
      <c r="M28" s="3">
        <f>'0.AEpreCheck'!M28</f>
        <v>0</v>
      </c>
      <c r="N28" s="3">
        <f>'0.AEpreCheck'!N28</f>
        <v>0</v>
      </c>
      <c r="O28" s="3">
        <f>'0.AEpreCheck'!O28</f>
        <v>0</v>
      </c>
      <c r="P28" s="3">
        <f>'0.AEpreCheck'!P28</f>
        <v>0</v>
      </c>
      <c r="Q28" s="3">
        <f>'0.AEpreCheck'!Q28</f>
        <v>0</v>
      </c>
      <c r="R28" s="67">
        <f>'0.AEpreCheck'!R28</f>
        <v>0</v>
      </c>
      <c r="S28" s="138"/>
      <c r="T28" s="166"/>
      <c r="U28" s="136">
        <v>17</v>
      </c>
      <c r="V28" s="138"/>
      <c r="W28" s="137"/>
      <c r="X28" s="138"/>
      <c r="Y28" s="137"/>
      <c r="Z28" s="137"/>
      <c r="AA28" s="138"/>
      <c r="AB28" s="137"/>
      <c r="AC28" s="137"/>
      <c r="AD28" s="137"/>
      <c r="AE28" s="138"/>
      <c r="AF28" s="137"/>
      <c r="AG28" s="137"/>
      <c r="AH28" s="137"/>
      <c r="AI28" s="137"/>
      <c r="AJ28" s="108"/>
      <c r="BC28" s="138"/>
    </row>
    <row r="29" spans="1:55" x14ac:dyDescent="0.25">
      <c r="B29" s="166"/>
      <c r="C29" s="40">
        <v>18</v>
      </c>
      <c r="D29" s="70">
        <f>'0.AEpreCheck'!D29</f>
        <v>0</v>
      </c>
      <c r="E29" s="3">
        <f>'0.AEpreCheck'!E29</f>
        <v>0</v>
      </c>
      <c r="F29" s="3">
        <f>'0.AEpreCheck'!F29</f>
        <v>0</v>
      </c>
      <c r="G29" s="3">
        <f>'0.AEpreCheck'!G29</f>
        <v>0</v>
      </c>
      <c r="H29" s="3">
        <f>'0.AEpreCheck'!H29</f>
        <v>0</v>
      </c>
      <c r="I29" s="3">
        <f>'0.AEpreCheck'!I29</f>
        <v>0</v>
      </c>
      <c r="J29" s="3">
        <f>'0.AEpreCheck'!J29</f>
        <v>0</v>
      </c>
      <c r="K29" s="3">
        <f>'0.AEpreCheck'!K29</f>
        <v>0</v>
      </c>
      <c r="L29" s="3">
        <f>'0.AEpreCheck'!L29</f>
        <v>0</v>
      </c>
      <c r="M29" s="3">
        <f>'0.AEpreCheck'!M29</f>
        <v>0</v>
      </c>
      <c r="N29" s="3">
        <f>'0.AEpreCheck'!N29</f>
        <v>0</v>
      </c>
      <c r="O29" s="3">
        <f>'0.AEpreCheck'!O29</f>
        <v>0</v>
      </c>
      <c r="P29" s="3">
        <f>'0.AEpreCheck'!P29</f>
        <v>0</v>
      </c>
      <c r="Q29" s="3">
        <f>'0.AEpreCheck'!Q29</f>
        <v>0</v>
      </c>
      <c r="R29" s="67">
        <f>'0.AEpreCheck'!R29</f>
        <v>0</v>
      </c>
      <c r="S29" s="138"/>
      <c r="T29" s="166"/>
      <c r="U29" s="136">
        <v>18</v>
      </c>
      <c r="V29" s="138"/>
      <c r="W29" s="137"/>
      <c r="X29" s="138"/>
      <c r="Y29" s="137"/>
      <c r="Z29" s="137"/>
      <c r="AA29" s="138"/>
      <c r="AB29" s="137"/>
      <c r="AC29" s="137"/>
      <c r="AD29" s="137"/>
      <c r="AE29" s="138"/>
      <c r="AF29" s="137"/>
      <c r="AG29" s="137"/>
      <c r="AH29" s="137"/>
      <c r="AI29" s="137"/>
      <c r="AJ29" s="108"/>
      <c r="BC29" s="138"/>
    </row>
    <row r="30" spans="1:55" x14ac:dyDescent="0.25">
      <c r="B30" s="166"/>
      <c r="C30" s="40">
        <v>19</v>
      </c>
      <c r="D30" s="70">
        <f>'0.AEpreCheck'!D30</f>
        <v>0</v>
      </c>
      <c r="E30" s="3">
        <f>'0.AEpreCheck'!E30</f>
        <v>0</v>
      </c>
      <c r="F30" s="3">
        <f>'0.AEpreCheck'!F30</f>
        <v>0</v>
      </c>
      <c r="G30" s="3">
        <f>'0.AEpreCheck'!G30</f>
        <v>0</v>
      </c>
      <c r="H30" s="3">
        <f>'0.AEpreCheck'!H30</f>
        <v>0</v>
      </c>
      <c r="I30" s="3">
        <f>'0.AEpreCheck'!I30</f>
        <v>0</v>
      </c>
      <c r="J30" s="3">
        <f>'0.AEpreCheck'!J30</f>
        <v>0</v>
      </c>
      <c r="K30" s="3">
        <f>'0.AEpreCheck'!K30</f>
        <v>0</v>
      </c>
      <c r="L30" s="3">
        <f>'0.AEpreCheck'!L30</f>
        <v>0</v>
      </c>
      <c r="M30" s="3">
        <f>'0.AEpreCheck'!M30</f>
        <v>0</v>
      </c>
      <c r="N30" s="3">
        <f>'0.AEpreCheck'!N30</f>
        <v>0</v>
      </c>
      <c r="O30" s="3">
        <f>'0.AEpreCheck'!O30</f>
        <v>0</v>
      </c>
      <c r="P30" s="3">
        <f>'0.AEpreCheck'!P30</f>
        <v>0</v>
      </c>
      <c r="Q30" s="3">
        <f>'0.AEpreCheck'!Q30</f>
        <v>0</v>
      </c>
      <c r="R30" s="67">
        <f>'0.AEpreCheck'!R30</f>
        <v>0</v>
      </c>
      <c r="S30" s="138"/>
      <c r="T30" s="166"/>
      <c r="U30" s="136">
        <v>19</v>
      </c>
      <c r="V30" s="138"/>
      <c r="W30" s="137"/>
      <c r="X30" s="138"/>
      <c r="Y30" s="137"/>
      <c r="Z30" s="137"/>
      <c r="AA30" s="138"/>
      <c r="AB30" s="137"/>
      <c r="AC30" s="137"/>
      <c r="AD30" s="137"/>
      <c r="AE30" s="138"/>
      <c r="AF30" s="137"/>
      <c r="AG30" s="137"/>
      <c r="AH30" s="137"/>
      <c r="AI30" s="137"/>
      <c r="AJ30" s="108"/>
      <c r="BC30" s="138"/>
    </row>
    <row r="31" spans="1:55" x14ac:dyDescent="0.25">
      <c r="B31" s="167"/>
      <c r="C31" s="40">
        <v>20</v>
      </c>
      <c r="D31" s="71">
        <f>'0.AEpreCheck'!D31</f>
        <v>0</v>
      </c>
      <c r="E31" s="56">
        <f>'0.AEpreCheck'!E31</f>
        <v>0</v>
      </c>
      <c r="F31" s="56">
        <f>'0.AEpreCheck'!F31</f>
        <v>0</v>
      </c>
      <c r="G31" s="56">
        <f>'0.AEpreCheck'!G31</f>
        <v>0</v>
      </c>
      <c r="H31" s="56">
        <f>'0.AEpreCheck'!H31</f>
        <v>0</v>
      </c>
      <c r="I31" s="56">
        <f>'0.AEpreCheck'!I31</f>
        <v>0</v>
      </c>
      <c r="J31" s="56">
        <f>'0.AEpreCheck'!J31</f>
        <v>0</v>
      </c>
      <c r="K31" s="56">
        <f>'0.AEpreCheck'!K31</f>
        <v>0</v>
      </c>
      <c r="L31" s="56">
        <f>'0.AEpreCheck'!L31</f>
        <v>0</v>
      </c>
      <c r="M31" s="56">
        <f>'0.AEpreCheck'!M31</f>
        <v>0</v>
      </c>
      <c r="N31" s="56">
        <f>'0.AEpreCheck'!N31</f>
        <v>0</v>
      </c>
      <c r="O31" s="56">
        <f>'0.AEpreCheck'!O31</f>
        <v>0</v>
      </c>
      <c r="P31" s="56">
        <f>'0.AEpreCheck'!P31</f>
        <v>0</v>
      </c>
      <c r="Q31" s="56">
        <f>'0.AEpreCheck'!Q31</f>
        <v>0</v>
      </c>
      <c r="R31" s="68">
        <f>'0.AEpreCheck'!R31</f>
        <v>0</v>
      </c>
      <c r="S31" s="138"/>
      <c r="T31" s="167"/>
      <c r="U31" s="136">
        <v>20</v>
      </c>
      <c r="V31" s="113"/>
      <c r="W31" s="107"/>
      <c r="X31" s="107"/>
      <c r="Y31" s="107"/>
      <c r="Z31" s="107"/>
      <c r="AA31" s="107"/>
      <c r="AB31" s="107"/>
      <c r="AC31" s="107"/>
      <c r="AD31" s="107"/>
      <c r="AE31" s="107"/>
      <c r="AF31" s="107"/>
      <c r="AG31" s="107"/>
      <c r="AH31" s="107"/>
      <c r="AI31" s="107"/>
      <c r="AJ31" s="109"/>
      <c r="BC31" s="138"/>
    </row>
    <row r="32" spans="1:55" x14ac:dyDescent="0.25">
      <c r="A32" s="158"/>
      <c r="B32" s="161" t="s">
        <v>58</v>
      </c>
      <c r="C32" s="175"/>
      <c r="D32" s="157" t="e">
        <f>((D12-D31)/(D12+D31))</f>
        <v>#DIV/0!</v>
      </c>
      <c r="E32" s="157" t="e">
        <f t="shared" ref="E32:R32" si="2">((E12-E31)/(E12+E31))</f>
        <v>#DIV/0!</v>
      </c>
      <c r="F32" s="157" t="e">
        <f t="shared" si="2"/>
        <v>#DIV/0!</v>
      </c>
      <c r="G32" s="157" t="e">
        <f t="shared" si="2"/>
        <v>#DIV/0!</v>
      </c>
      <c r="H32" s="157" t="e">
        <f t="shared" si="2"/>
        <v>#DIV/0!</v>
      </c>
      <c r="I32" s="157" t="e">
        <f t="shared" si="2"/>
        <v>#DIV/0!</v>
      </c>
      <c r="J32" s="157" t="e">
        <f t="shared" si="2"/>
        <v>#DIV/0!</v>
      </c>
      <c r="K32" s="157" t="e">
        <f t="shared" si="2"/>
        <v>#DIV/0!</v>
      </c>
      <c r="L32" s="157" t="e">
        <f t="shared" si="2"/>
        <v>#DIV/0!</v>
      </c>
      <c r="M32" s="157" t="e">
        <f t="shared" si="2"/>
        <v>#DIV/0!</v>
      </c>
      <c r="N32" s="157" t="e">
        <f t="shared" si="2"/>
        <v>#DIV/0!</v>
      </c>
      <c r="O32" s="157" t="e">
        <f t="shared" si="2"/>
        <v>#DIV/0!</v>
      </c>
      <c r="P32" s="157" t="e">
        <f t="shared" si="2"/>
        <v>#DIV/0!</v>
      </c>
      <c r="Q32" s="157" t="e">
        <f t="shared" si="2"/>
        <v>#DIV/0!</v>
      </c>
      <c r="R32" s="157" t="e">
        <f t="shared" si="2"/>
        <v>#DIV/0!</v>
      </c>
      <c r="S32" s="156"/>
      <c r="T32" s="161" t="s">
        <v>58</v>
      </c>
      <c r="U32" s="175"/>
      <c r="V32" s="157" t="e">
        <f>((V12-V31)/(V12+V31))</f>
        <v>#DIV/0!</v>
      </c>
      <c r="W32" s="157" t="e">
        <f t="shared" ref="W32:AJ32" si="3">((W12-W31)/(W12+W31))</f>
        <v>#DIV/0!</v>
      </c>
      <c r="X32" s="157" t="e">
        <f t="shared" si="3"/>
        <v>#DIV/0!</v>
      </c>
      <c r="Y32" s="157" t="e">
        <f t="shared" si="3"/>
        <v>#DIV/0!</v>
      </c>
      <c r="Z32" s="157" t="e">
        <f t="shared" si="3"/>
        <v>#DIV/0!</v>
      </c>
      <c r="AA32" s="157" t="e">
        <f t="shared" si="3"/>
        <v>#DIV/0!</v>
      </c>
      <c r="AB32" s="157" t="e">
        <f t="shared" si="3"/>
        <v>#DIV/0!</v>
      </c>
      <c r="AC32" s="157" t="e">
        <f t="shared" si="3"/>
        <v>#DIV/0!</v>
      </c>
      <c r="AD32" s="157" t="e">
        <f t="shared" si="3"/>
        <v>#DIV/0!</v>
      </c>
      <c r="AE32" s="157" t="e">
        <f t="shared" si="3"/>
        <v>#DIV/0!</v>
      </c>
      <c r="AF32" s="157" t="e">
        <f t="shared" si="3"/>
        <v>#DIV/0!</v>
      </c>
      <c r="AG32" s="157" t="e">
        <f t="shared" si="3"/>
        <v>#DIV/0!</v>
      </c>
      <c r="AH32" s="157" t="e">
        <f t="shared" si="3"/>
        <v>#DIV/0!</v>
      </c>
      <c r="AI32" s="157" t="e">
        <f t="shared" si="3"/>
        <v>#DIV/0!</v>
      </c>
      <c r="AJ32" s="157" t="e">
        <f t="shared" si="3"/>
        <v>#DIV/0!</v>
      </c>
      <c r="AK32" s="158"/>
      <c r="AL32" s="158"/>
      <c r="BC32" s="156"/>
    </row>
    <row r="33" spans="2:36" x14ac:dyDescent="0.25">
      <c r="B33" s="138"/>
      <c r="C33" s="138"/>
      <c r="D33" s="138"/>
      <c r="E33" s="138"/>
      <c r="F33" s="138"/>
      <c r="G33" s="138"/>
      <c r="H33" s="138"/>
      <c r="I33" s="138"/>
      <c r="J33" s="138"/>
      <c r="K33" s="138"/>
      <c r="L33" s="138"/>
      <c r="M33" s="138"/>
      <c r="N33" s="138"/>
      <c r="O33" s="138"/>
      <c r="P33" s="138"/>
      <c r="Q33" s="138"/>
      <c r="R33" s="138"/>
      <c r="S33" s="138"/>
    </row>
    <row r="34" spans="2:36" x14ac:dyDescent="0.25">
      <c r="B34" s="171" t="s">
        <v>49</v>
      </c>
      <c r="C34" s="172"/>
      <c r="D34" s="172"/>
      <c r="E34" s="172"/>
      <c r="F34" s="172"/>
      <c r="G34" s="172"/>
      <c r="H34" s="172"/>
      <c r="I34" s="172"/>
      <c r="J34" s="172"/>
      <c r="K34" s="172"/>
      <c r="L34" s="172"/>
      <c r="M34" s="172"/>
      <c r="N34" s="172"/>
      <c r="O34" s="172"/>
      <c r="P34" s="172"/>
      <c r="Q34" s="172"/>
      <c r="R34" s="128"/>
      <c r="S34" s="138"/>
      <c r="T34" s="173" t="s">
        <v>47</v>
      </c>
      <c r="U34" s="173"/>
      <c r="V34" s="173"/>
      <c r="W34" s="173"/>
      <c r="X34" s="173"/>
      <c r="Y34" s="173"/>
      <c r="Z34" s="173"/>
      <c r="AA34" s="173"/>
      <c r="AB34" s="173"/>
      <c r="AC34" s="173"/>
      <c r="AD34" s="173"/>
      <c r="AE34" s="173"/>
      <c r="AF34" s="173"/>
      <c r="AG34" s="173"/>
      <c r="AH34" s="173"/>
      <c r="AI34" s="173"/>
      <c r="AJ34" s="173"/>
    </row>
    <row r="35" spans="2:36" x14ac:dyDescent="0.25">
      <c r="B35" s="136" t="s">
        <v>1</v>
      </c>
      <c r="C35" s="40" t="s">
        <v>0</v>
      </c>
      <c r="D35" s="126" t="s">
        <v>43</v>
      </c>
      <c r="E35" s="126" t="s">
        <v>44</v>
      </c>
      <c r="F35" s="126" t="s">
        <v>45</v>
      </c>
      <c r="G35" s="41" t="s">
        <v>42</v>
      </c>
      <c r="H35" s="136" t="s">
        <v>41</v>
      </c>
      <c r="I35" s="136" t="s">
        <v>40</v>
      </c>
      <c r="J35" s="136" t="s">
        <v>39</v>
      </c>
      <c r="K35" s="136" t="s">
        <v>38</v>
      </c>
      <c r="L35" s="136" t="s">
        <v>37</v>
      </c>
      <c r="M35" s="136" t="s">
        <v>36</v>
      </c>
      <c r="N35" s="136" t="s">
        <v>35</v>
      </c>
      <c r="O35" s="136" t="s">
        <v>34</v>
      </c>
      <c r="P35" s="136" t="s">
        <v>33</v>
      </c>
      <c r="Q35" s="40" t="s">
        <v>32</v>
      </c>
      <c r="R35" s="70"/>
      <c r="S35" s="138"/>
      <c r="T35" s="136" t="s">
        <v>26</v>
      </c>
      <c r="U35" s="40" t="s">
        <v>0</v>
      </c>
      <c r="V35" s="134">
        <v>2</v>
      </c>
      <c r="W35" s="134">
        <v>5</v>
      </c>
      <c r="X35" s="134">
        <v>10</v>
      </c>
      <c r="Y35" s="64">
        <v>20</v>
      </c>
      <c r="Z35" s="134">
        <v>50</v>
      </c>
      <c r="AA35" s="134">
        <v>100</v>
      </c>
      <c r="AB35" s="134">
        <v>200</v>
      </c>
      <c r="AC35" s="134">
        <v>300</v>
      </c>
      <c r="AD35" s="134">
        <v>400</v>
      </c>
      <c r="AE35" s="134">
        <v>500</v>
      </c>
      <c r="AF35" s="134">
        <v>600</v>
      </c>
      <c r="AG35" s="134">
        <v>700</v>
      </c>
      <c r="AH35" s="134">
        <v>800</v>
      </c>
      <c r="AI35" s="134">
        <v>900</v>
      </c>
      <c r="AJ35" s="134">
        <v>1000</v>
      </c>
    </row>
    <row r="36" spans="2:36" x14ac:dyDescent="0.25">
      <c r="B36" s="165" t="s">
        <v>3</v>
      </c>
      <c r="C36" s="135">
        <v>1</v>
      </c>
      <c r="D36" s="44" t="e">
        <f t="shared" ref="D36:Q36" si="4">E12/D12</f>
        <v>#DIV/0!</v>
      </c>
      <c r="E36" s="45" t="e">
        <f t="shared" si="4"/>
        <v>#DIV/0!</v>
      </c>
      <c r="F36" s="45" t="e">
        <f t="shared" si="4"/>
        <v>#DIV/0!</v>
      </c>
      <c r="G36" s="45" t="e">
        <f t="shared" si="4"/>
        <v>#DIV/0!</v>
      </c>
      <c r="H36" s="45" t="e">
        <f t="shared" si="4"/>
        <v>#DIV/0!</v>
      </c>
      <c r="I36" s="45" t="e">
        <f t="shared" si="4"/>
        <v>#DIV/0!</v>
      </c>
      <c r="J36" s="45" t="e">
        <f t="shared" si="4"/>
        <v>#DIV/0!</v>
      </c>
      <c r="K36" s="45" t="e">
        <f t="shared" si="4"/>
        <v>#DIV/0!</v>
      </c>
      <c r="L36" s="45" t="e">
        <f t="shared" si="4"/>
        <v>#DIV/0!</v>
      </c>
      <c r="M36" s="45" t="e">
        <f t="shared" si="4"/>
        <v>#DIV/0!</v>
      </c>
      <c r="N36" s="45" t="e">
        <f t="shared" si="4"/>
        <v>#DIV/0!</v>
      </c>
      <c r="O36" s="45" t="e">
        <f t="shared" si="4"/>
        <v>#DIV/0!</v>
      </c>
      <c r="P36" s="45" t="e">
        <f t="shared" si="4"/>
        <v>#DIV/0!</v>
      </c>
      <c r="Q36" s="45" t="e">
        <f t="shared" si="4"/>
        <v>#DIV/0!</v>
      </c>
      <c r="R36" s="118"/>
      <c r="S36" s="138"/>
      <c r="T36" s="165" t="s">
        <v>3</v>
      </c>
      <c r="U36" s="63">
        <v>1</v>
      </c>
      <c r="V36" s="57">
        <f t="shared" ref="V36:V55" si="5">ABS(V12-D12)</f>
        <v>0</v>
      </c>
      <c r="W36" s="110">
        <f t="shared" ref="W36:W55" si="6">ABS(W12-E12)</f>
        <v>0</v>
      </c>
      <c r="X36" s="110">
        <f t="shared" ref="X36:X55" si="7">ABS(X12-F12)</f>
        <v>0</v>
      </c>
      <c r="Y36" s="110">
        <f t="shared" ref="Y36:Y55" si="8">ABS(Y12-G12)</f>
        <v>0</v>
      </c>
      <c r="Z36" s="110">
        <f t="shared" ref="Z36:Z55" si="9">ABS(Z12-H12)</f>
        <v>0</v>
      </c>
      <c r="AA36" s="110">
        <f t="shared" ref="AA36:AA55" si="10">ABS(AA12-I12)</f>
        <v>0</v>
      </c>
      <c r="AB36" s="110">
        <f t="shared" ref="AB36:AB55" si="11">ABS(AB12-J12)</f>
        <v>0</v>
      </c>
      <c r="AC36" s="110">
        <f t="shared" ref="AC36:AC55" si="12">ABS(AC12-K12)</f>
        <v>0</v>
      </c>
      <c r="AD36" s="110">
        <f t="shared" ref="AD36:AD55" si="13">ABS(AD12-L12)</f>
        <v>0</v>
      </c>
      <c r="AE36" s="110">
        <f t="shared" ref="AE36:AE55" si="14">ABS(AE12-M12)</f>
        <v>0</v>
      </c>
      <c r="AF36" s="110">
        <f t="shared" ref="AF36:AF55" si="15">ABS(AF12-N12)</f>
        <v>0</v>
      </c>
      <c r="AG36" s="110">
        <f t="shared" ref="AG36:AG55" si="16">ABS(AG12-O12)</f>
        <v>0</v>
      </c>
      <c r="AH36" s="110">
        <f t="shared" ref="AH36:AH55" si="17">ABS(AH12-P12)</f>
        <v>0</v>
      </c>
      <c r="AI36" s="110">
        <f t="shared" ref="AI36:AI55" si="18">ABS(AI12-Q12)</f>
        <v>0</v>
      </c>
      <c r="AJ36" s="112">
        <f t="shared" ref="AJ36:AJ55" si="19">ABS(AJ12-R12)</f>
        <v>0</v>
      </c>
    </row>
    <row r="37" spans="2:36" x14ac:dyDescent="0.25">
      <c r="B37" s="166"/>
      <c r="C37" s="136">
        <v>2</v>
      </c>
      <c r="D37" s="47" t="e">
        <f t="shared" ref="D37:Q37" si="20">E13/D13</f>
        <v>#DIV/0!</v>
      </c>
      <c r="E37" s="48" t="e">
        <f t="shared" si="20"/>
        <v>#DIV/0!</v>
      </c>
      <c r="F37" s="48" t="e">
        <f t="shared" si="20"/>
        <v>#DIV/0!</v>
      </c>
      <c r="G37" s="48" t="e">
        <f t="shared" si="20"/>
        <v>#DIV/0!</v>
      </c>
      <c r="H37" s="48" t="e">
        <f t="shared" si="20"/>
        <v>#DIV/0!</v>
      </c>
      <c r="I37" s="48" t="e">
        <f t="shared" si="20"/>
        <v>#DIV/0!</v>
      </c>
      <c r="J37" s="48" t="e">
        <f t="shared" si="20"/>
        <v>#DIV/0!</v>
      </c>
      <c r="K37" s="48" t="e">
        <f t="shared" si="20"/>
        <v>#DIV/0!</v>
      </c>
      <c r="L37" s="48" t="e">
        <f t="shared" si="20"/>
        <v>#DIV/0!</v>
      </c>
      <c r="M37" s="48" t="e">
        <f t="shared" si="20"/>
        <v>#DIV/0!</v>
      </c>
      <c r="N37" s="48" t="e">
        <f t="shared" si="20"/>
        <v>#DIV/0!</v>
      </c>
      <c r="O37" s="48" t="e">
        <f t="shared" si="20"/>
        <v>#DIV/0!</v>
      </c>
      <c r="P37" s="48" t="e">
        <f t="shared" si="20"/>
        <v>#DIV/0!</v>
      </c>
      <c r="Q37" s="48" t="e">
        <f t="shared" si="20"/>
        <v>#DIV/0!</v>
      </c>
      <c r="R37" s="118"/>
      <c r="S37" s="138"/>
      <c r="T37" s="166"/>
      <c r="U37" s="40">
        <v>2</v>
      </c>
      <c r="V37" s="118">
        <f t="shared" si="5"/>
        <v>0</v>
      </c>
      <c r="W37" s="137">
        <f t="shared" si="6"/>
        <v>0</v>
      </c>
      <c r="X37" s="137">
        <f t="shared" si="7"/>
        <v>0</v>
      </c>
      <c r="Y37" s="137">
        <f t="shared" si="8"/>
        <v>0</v>
      </c>
      <c r="Z37" s="137">
        <f t="shared" si="9"/>
        <v>0</v>
      </c>
      <c r="AA37" s="137">
        <f t="shared" si="10"/>
        <v>0</v>
      </c>
      <c r="AB37" s="137">
        <f t="shared" si="11"/>
        <v>0</v>
      </c>
      <c r="AC37" s="137">
        <f t="shared" si="12"/>
        <v>0</v>
      </c>
      <c r="AD37" s="137">
        <f t="shared" si="13"/>
        <v>0</v>
      </c>
      <c r="AE37" s="137">
        <f t="shared" si="14"/>
        <v>0</v>
      </c>
      <c r="AF37" s="137">
        <f t="shared" si="15"/>
        <v>0</v>
      </c>
      <c r="AG37" s="137">
        <f t="shared" si="16"/>
        <v>0</v>
      </c>
      <c r="AH37" s="137">
        <f t="shared" si="17"/>
        <v>0</v>
      </c>
      <c r="AI37" s="137">
        <f t="shared" si="18"/>
        <v>0</v>
      </c>
      <c r="AJ37" s="108">
        <f t="shared" si="19"/>
        <v>0</v>
      </c>
    </row>
    <row r="38" spans="2:36" x14ac:dyDescent="0.25">
      <c r="B38" s="166"/>
      <c r="C38" s="136">
        <v>3</v>
      </c>
      <c r="D38" s="47" t="e">
        <f t="shared" ref="D38:Q38" si="21">E14/D14</f>
        <v>#DIV/0!</v>
      </c>
      <c r="E38" s="48" t="e">
        <f t="shared" si="21"/>
        <v>#DIV/0!</v>
      </c>
      <c r="F38" s="48" t="e">
        <f t="shared" si="21"/>
        <v>#DIV/0!</v>
      </c>
      <c r="G38" s="48" t="e">
        <f t="shared" si="21"/>
        <v>#DIV/0!</v>
      </c>
      <c r="H38" s="48" t="e">
        <f t="shared" si="21"/>
        <v>#DIV/0!</v>
      </c>
      <c r="I38" s="48" t="e">
        <f t="shared" si="21"/>
        <v>#DIV/0!</v>
      </c>
      <c r="J38" s="48" t="e">
        <f t="shared" si="21"/>
        <v>#DIV/0!</v>
      </c>
      <c r="K38" s="48" t="e">
        <f t="shared" si="21"/>
        <v>#DIV/0!</v>
      </c>
      <c r="L38" s="48" t="e">
        <f t="shared" si="21"/>
        <v>#DIV/0!</v>
      </c>
      <c r="M38" s="48" t="e">
        <f t="shared" si="21"/>
        <v>#DIV/0!</v>
      </c>
      <c r="N38" s="48" t="e">
        <f t="shared" si="21"/>
        <v>#DIV/0!</v>
      </c>
      <c r="O38" s="48" t="e">
        <f t="shared" si="21"/>
        <v>#DIV/0!</v>
      </c>
      <c r="P38" s="48" t="e">
        <f t="shared" si="21"/>
        <v>#DIV/0!</v>
      </c>
      <c r="Q38" s="48" t="e">
        <f t="shared" si="21"/>
        <v>#DIV/0!</v>
      </c>
      <c r="R38" s="118"/>
      <c r="S38" s="138"/>
      <c r="T38" s="166"/>
      <c r="U38" s="40">
        <v>3</v>
      </c>
      <c r="V38" s="118">
        <f t="shared" si="5"/>
        <v>0</v>
      </c>
      <c r="W38" s="137">
        <f t="shared" si="6"/>
        <v>0</v>
      </c>
      <c r="X38" s="137">
        <f t="shared" si="7"/>
        <v>0</v>
      </c>
      <c r="Y38" s="137">
        <f t="shared" si="8"/>
        <v>0</v>
      </c>
      <c r="Z38" s="137">
        <f t="shared" si="9"/>
        <v>0</v>
      </c>
      <c r="AA38" s="137">
        <f t="shared" si="10"/>
        <v>0</v>
      </c>
      <c r="AB38" s="137">
        <f t="shared" si="11"/>
        <v>0</v>
      </c>
      <c r="AC38" s="137">
        <f t="shared" si="12"/>
        <v>0</v>
      </c>
      <c r="AD38" s="137">
        <f t="shared" si="13"/>
        <v>0</v>
      </c>
      <c r="AE38" s="137">
        <f t="shared" si="14"/>
        <v>0</v>
      </c>
      <c r="AF38" s="137">
        <f t="shared" si="15"/>
        <v>0</v>
      </c>
      <c r="AG38" s="137">
        <f t="shared" si="16"/>
        <v>0</v>
      </c>
      <c r="AH38" s="137">
        <f t="shared" si="17"/>
        <v>0</v>
      </c>
      <c r="AI38" s="137">
        <f t="shared" si="18"/>
        <v>0</v>
      </c>
      <c r="AJ38" s="108">
        <f t="shared" si="19"/>
        <v>0</v>
      </c>
    </row>
    <row r="39" spans="2:36" x14ac:dyDescent="0.25">
      <c r="B39" s="167"/>
      <c r="C39" s="136">
        <v>4</v>
      </c>
      <c r="D39" s="47" t="e">
        <f t="shared" ref="D39:Q39" si="22">E15/D15</f>
        <v>#DIV/0!</v>
      </c>
      <c r="E39" s="48" t="e">
        <f t="shared" si="22"/>
        <v>#DIV/0!</v>
      </c>
      <c r="F39" s="48" t="e">
        <f t="shared" si="22"/>
        <v>#DIV/0!</v>
      </c>
      <c r="G39" s="48" t="e">
        <f t="shared" si="22"/>
        <v>#DIV/0!</v>
      </c>
      <c r="H39" s="48" t="e">
        <f t="shared" si="22"/>
        <v>#DIV/0!</v>
      </c>
      <c r="I39" s="48" t="e">
        <f t="shared" si="22"/>
        <v>#DIV/0!</v>
      </c>
      <c r="J39" s="48" t="e">
        <f t="shared" si="22"/>
        <v>#DIV/0!</v>
      </c>
      <c r="K39" s="48" t="e">
        <f t="shared" si="22"/>
        <v>#DIV/0!</v>
      </c>
      <c r="L39" s="48" t="e">
        <f t="shared" si="22"/>
        <v>#DIV/0!</v>
      </c>
      <c r="M39" s="48" t="e">
        <f t="shared" si="22"/>
        <v>#DIV/0!</v>
      </c>
      <c r="N39" s="48" t="e">
        <f t="shared" si="22"/>
        <v>#DIV/0!</v>
      </c>
      <c r="O39" s="48" t="e">
        <f t="shared" si="22"/>
        <v>#DIV/0!</v>
      </c>
      <c r="P39" s="48" t="e">
        <f t="shared" si="22"/>
        <v>#DIV/0!</v>
      </c>
      <c r="Q39" s="48" t="e">
        <f t="shared" si="22"/>
        <v>#DIV/0!</v>
      </c>
      <c r="R39" s="118"/>
      <c r="S39" s="138"/>
      <c r="T39" s="167"/>
      <c r="U39" s="40">
        <v>4</v>
      </c>
      <c r="V39" s="118">
        <f t="shared" si="5"/>
        <v>0</v>
      </c>
      <c r="W39" s="137">
        <f t="shared" si="6"/>
        <v>0</v>
      </c>
      <c r="X39" s="137">
        <f t="shared" si="7"/>
        <v>0</v>
      </c>
      <c r="Y39" s="137">
        <f t="shared" si="8"/>
        <v>0</v>
      </c>
      <c r="Z39" s="137">
        <f t="shared" si="9"/>
        <v>0</v>
      </c>
      <c r="AA39" s="137">
        <f t="shared" si="10"/>
        <v>0</v>
      </c>
      <c r="AB39" s="137">
        <f t="shared" si="11"/>
        <v>0</v>
      </c>
      <c r="AC39" s="137">
        <f t="shared" si="12"/>
        <v>0</v>
      </c>
      <c r="AD39" s="137">
        <f t="shared" si="13"/>
        <v>0</v>
      </c>
      <c r="AE39" s="137">
        <f t="shared" si="14"/>
        <v>0</v>
      </c>
      <c r="AF39" s="137">
        <f t="shared" si="15"/>
        <v>0</v>
      </c>
      <c r="AG39" s="137">
        <f t="shared" si="16"/>
        <v>0</v>
      </c>
      <c r="AH39" s="137">
        <f t="shared" si="17"/>
        <v>0</v>
      </c>
      <c r="AI39" s="137">
        <f t="shared" si="18"/>
        <v>0</v>
      </c>
      <c r="AJ39" s="108">
        <f t="shared" si="19"/>
        <v>0</v>
      </c>
    </row>
    <row r="40" spans="2:36" x14ac:dyDescent="0.25">
      <c r="B40" s="165" t="s">
        <v>4</v>
      </c>
      <c r="C40" s="136">
        <v>5</v>
      </c>
      <c r="D40" s="47" t="e">
        <f t="shared" ref="D40:Q40" si="23">E16/D16</f>
        <v>#DIV/0!</v>
      </c>
      <c r="E40" s="48" t="e">
        <f t="shared" si="23"/>
        <v>#DIV/0!</v>
      </c>
      <c r="F40" s="48" t="e">
        <f t="shared" si="23"/>
        <v>#DIV/0!</v>
      </c>
      <c r="G40" s="48" t="e">
        <f t="shared" si="23"/>
        <v>#DIV/0!</v>
      </c>
      <c r="H40" s="48" t="e">
        <f t="shared" si="23"/>
        <v>#DIV/0!</v>
      </c>
      <c r="I40" s="48" t="e">
        <f t="shared" si="23"/>
        <v>#DIV/0!</v>
      </c>
      <c r="J40" s="48" t="e">
        <f t="shared" si="23"/>
        <v>#DIV/0!</v>
      </c>
      <c r="K40" s="48" t="e">
        <f t="shared" si="23"/>
        <v>#DIV/0!</v>
      </c>
      <c r="L40" s="48" t="e">
        <f t="shared" si="23"/>
        <v>#DIV/0!</v>
      </c>
      <c r="M40" s="48" t="e">
        <f t="shared" si="23"/>
        <v>#DIV/0!</v>
      </c>
      <c r="N40" s="48" t="e">
        <f t="shared" si="23"/>
        <v>#DIV/0!</v>
      </c>
      <c r="O40" s="48" t="e">
        <f t="shared" si="23"/>
        <v>#DIV/0!</v>
      </c>
      <c r="P40" s="48" t="e">
        <f t="shared" si="23"/>
        <v>#DIV/0!</v>
      </c>
      <c r="Q40" s="48" t="e">
        <f t="shared" si="23"/>
        <v>#DIV/0!</v>
      </c>
      <c r="R40" s="118"/>
      <c r="S40" s="138"/>
      <c r="T40" s="165" t="s">
        <v>4</v>
      </c>
      <c r="U40" s="40">
        <v>5</v>
      </c>
      <c r="V40" s="118">
        <f t="shared" si="5"/>
        <v>0</v>
      </c>
      <c r="W40" s="137">
        <f t="shared" si="6"/>
        <v>0</v>
      </c>
      <c r="X40" s="137">
        <f t="shared" si="7"/>
        <v>0</v>
      </c>
      <c r="Y40" s="137">
        <f t="shared" si="8"/>
        <v>0</v>
      </c>
      <c r="Z40" s="137">
        <f t="shared" si="9"/>
        <v>0</v>
      </c>
      <c r="AA40" s="137">
        <f t="shared" si="10"/>
        <v>0</v>
      </c>
      <c r="AB40" s="137">
        <f t="shared" si="11"/>
        <v>0</v>
      </c>
      <c r="AC40" s="137">
        <f t="shared" si="12"/>
        <v>0</v>
      </c>
      <c r="AD40" s="137">
        <f t="shared" si="13"/>
        <v>0</v>
      </c>
      <c r="AE40" s="137">
        <f t="shared" si="14"/>
        <v>0</v>
      </c>
      <c r="AF40" s="137">
        <f t="shared" si="15"/>
        <v>0</v>
      </c>
      <c r="AG40" s="137">
        <f t="shared" si="16"/>
        <v>0</v>
      </c>
      <c r="AH40" s="137">
        <f t="shared" si="17"/>
        <v>0</v>
      </c>
      <c r="AI40" s="137">
        <f t="shared" si="18"/>
        <v>0</v>
      </c>
      <c r="AJ40" s="108">
        <f t="shared" si="19"/>
        <v>0</v>
      </c>
    </row>
    <row r="41" spans="2:36" x14ac:dyDescent="0.25">
      <c r="B41" s="166"/>
      <c r="C41" s="136">
        <v>6</v>
      </c>
      <c r="D41" s="47" t="e">
        <f t="shared" ref="D41:Q41" si="24">E17/D17</f>
        <v>#DIV/0!</v>
      </c>
      <c r="E41" s="48" t="e">
        <f t="shared" si="24"/>
        <v>#DIV/0!</v>
      </c>
      <c r="F41" s="48" t="e">
        <f t="shared" si="24"/>
        <v>#DIV/0!</v>
      </c>
      <c r="G41" s="48" t="e">
        <f t="shared" si="24"/>
        <v>#DIV/0!</v>
      </c>
      <c r="H41" s="48" t="e">
        <f t="shared" si="24"/>
        <v>#DIV/0!</v>
      </c>
      <c r="I41" s="48" t="e">
        <f t="shared" si="24"/>
        <v>#DIV/0!</v>
      </c>
      <c r="J41" s="48" t="e">
        <f t="shared" si="24"/>
        <v>#DIV/0!</v>
      </c>
      <c r="K41" s="48" t="e">
        <f t="shared" si="24"/>
        <v>#DIV/0!</v>
      </c>
      <c r="L41" s="48" t="e">
        <f t="shared" si="24"/>
        <v>#DIV/0!</v>
      </c>
      <c r="M41" s="48" t="e">
        <f t="shared" si="24"/>
        <v>#DIV/0!</v>
      </c>
      <c r="N41" s="48" t="e">
        <f t="shared" si="24"/>
        <v>#DIV/0!</v>
      </c>
      <c r="O41" s="48" t="e">
        <f t="shared" si="24"/>
        <v>#DIV/0!</v>
      </c>
      <c r="P41" s="48" t="e">
        <f t="shared" si="24"/>
        <v>#DIV/0!</v>
      </c>
      <c r="Q41" s="48" t="e">
        <f t="shared" si="24"/>
        <v>#DIV/0!</v>
      </c>
      <c r="R41" s="118"/>
      <c r="S41" s="138"/>
      <c r="T41" s="166"/>
      <c r="U41" s="40">
        <v>6</v>
      </c>
      <c r="V41" s="118">
        <f t="shared" si="5"/>
        <v>0</v>
      </c>
      <c r="W41" s="137">
        <f t="shared" si="6"/>
        <v>0</v>
      </c>
      <c r="X41" s="137">
        <f t="shared" si="7"/>
        <v>0</v>
      </c>
      <c r="Y41" s="137">
        <f t="shared" si="8"/>
        <v>0</v>
      </c>
      <c r="Z41" s="137">
        <f t="shared" si="9"/>
        <v>0</v>
      </c>
      <c r="AA41" s="137">
        <f t="shared" si="10"/>
        <v>0</v>
      </c>
      <c r="AB41" s="137">
        <f t="shared" si="11"/>
        <v>0</v>
      </c>
      <c r="AC41" s="137">
        <f t="shared" si="12"/>
        <v>0</v>
      </c>
      <c r="AD41" s="137">
        <f t="shared" si="13"/>
        <v>0</v>
      </c>
      <c r="AE41" s="137">
        <f t="shared" si="14"/>
        <v>0</v>
      </c>
      <c r="AF41" s="137">
        <f t="shared" si="15"/>
        <v>0</v>
      </c>
      <c r="AG41" s="137">
        <f t="shared" si="16"/>
        <v>0</v>
      </c>
      <c r="AH41" s="137">
        <f t="shared" si="17"/>
        <v>0</v>
      </c>
      <c r="AI41" s="137">
        <f t="shared" si="18"/>
        <v>0</v>
      </c>
      <c r="AJ41" s="108">
        <f t="shared" si="19"/>
        <v>0</v>
      </c>
    </row>
    <row r="42" spans="2:36" x14ac:dyDescent="0.25">
      <c r="B42" s="166"/>
      <c r="C42" s="136">
        <v>7</v>
      </c>
      <c r="D42" s="47" t="e">
        <f t="shared" ref="D42:Q42" si="25">E18/D18</f>
        <v>#DIV/0!</v>
      </c>
      <c r="E42" s="48" t="e">
        <f t="shared" si="25"/>
        <v>#DIV/0!</v>
      </c>
      <c r="F42" s="48" t="e">
        <f t="shared" si="25"/>
        <v>#DIV/0!</v>
      </c>
      <c r="G42" s="48" t="e">
        <f t="shared" si="25"/>
        <v>#DIV/0!</v>
      </c>
      <c r="H42" s="48" t="e">
        <f t="shared" si="25"/>
        <v>#DIV/0!</v>
      </c>
      <c r="I42" s="48" t="e">
        <f t="shared" si="25"/>
        <v>#DIV/0!</v>
      </c>
      <c r="J42" s="48" t="e">
        <f t="shared" si="25"/>
        <v>#DIV/0!</v>
      </c>
      <c r="K42" s="48" t="e">
        <f t="shared" si="25"/>
        <v>#DIV/0!</v>
      </c>
      <c r="L42" s="48" t="e">
        <f t="shared" si="25"/>
        <v>#DIV/0!</v>
      </c>
      <c r="M42" s="48" t="e">
        <f t="shared" si="25"/>
        <v>#DIV/0!</v>
      </c>
      <c r="N42" s="48" t="e">
        <f t="shared" si="25"/>
        <v>#DIV/0!</v>
      </c>
      <c r="O42" s="48" t="e">
        <f t="shared" si="25"/>
        <v>#DIV/0!</v>
      </c>
      <c r="P42" s="48" t="e">
        <f t="shared" si="25"/>
        <v>#DIV/0!</v>
      </c>
      <c r="Q42" s="48" t="e">
        <f t="shared" si="25"/>
        <v>#DIV/0!</v>
      </c>
      <c r="R42" s="118"/>
      <c r="S42" s="138"/>
      <c r="T42" s="166"/>
      <c r="U42" s="40">
        <v>7</v>
      </c>
      <c r="V42" s="118">
        <f t="shared" si="5"/>
        <v>0</v>
      </c>
      <c r="W42" s="137">
        <f t="shared" si="6"/>
        <v>0</v>
      </c>
      <c r="X42" s="137">
        <f t="shared" si="7"/>
        <v>0</v>
      </c>
      <c r="Y42" s="137">
        <f t="shared" si="8"/>
        <v>0</v>
      </c>
      <c r="Z42" s="137">
        <f t="shared" si="9"/>
        <v>0</v>
      </c>
      <c r="AA42" s="137">
        <f t="shared" si="10"/>
        <v>0</v>
      </c>
      <c r="AB42" s="137">
        <f t="shared" si="11"/>
        <v>0</v>
      </c>
      <c r="AC42" s="137">
        <f t="shared" si="12"/>
        <v>0</v>
      </c>
      <c r="AD42" s="137">
        <f t="shared" si="13"/>
        <v>0</v>
      </c>
      <c r="AE42" s="137">
        <f t="shared" si="14"/>
        <v>0</v>
      </c>
      <c r="AF42" s="137">
        <f t="shared" si="15"/>
        <v>0</v>
      </c>
      <c r="AG42" s="137">
        <f t="shared" si="16"/>
        <v>0</v>
      </c>
      <c r="AH42" s="137">
        <f t="shared" si="17"/>
        <v>0</v>
      </c>
      <c r="AI42" s="137">
        <f t="shared" si="18"/>
        <v>0</v>
      </c>
      <c r="AJ42" s="108">
        <f t="shared" si="19"/>
        <v>0</v>
      </c>
    </row>
    <row r="43" spans="2:36" x14ac:dyDescent="0.25">
      <c r="B43" s="166"/>
      <c r="C43" s="136">
        <v>8</v>
      </c>
      <c r="D43" s="47" t="e">
        <f t="shared" ref="D43:Q43" si="26">E19/D19</f>
        <v>#DIV/0!</v>
      </c>
      <c r="E43" s="48" t="e">
        <f t="shared" si="26"/>
        <v>#DIV/0!</v>
      </c>
      <c r="F43" s="48" t="e">
        <f t="shared" si="26"/>
        <v>#DIV/0!</v>
      </c>
      <c r="G43" s="48" t="e">
        <f t="shared" si="26"/>
        <v>#DIV/0!</v>
      </c>
      <c r="H43" s="48" t="e">
        <f t="shared" si="26"/>
        <v>#DIV/0!</v>
      </c>
      <c r="I43" s="48" t="e">
        <f t="shared" si="26"/>
        <v>#DIV/0!</v>
      </c>
      <c r="J43" s="48" t="e">
        <f t="shared" si="26"/>
        <v>#DIV/0!</v>
      </c>
      <c r="K43" s="48" t="e">
        <f t="shared" si="26"/>
        <v>#DIV/0!</v>
      </c>
      <c r="L43" s="48" t="e">
        <f t="shared" si="26"/>
        <v>#DIV/0!</v>
      </c>
      <c r="M43" s="48" t="e">
        <f t="shared" si="26"/>
        <v>#DIV/0!</v>
      </c>
      <c r="N43" s="48" t="e">
        <f t="shared" si="26"/>
        <v>#DIV/0!</v>
      </c>
      <c r="O43" s="48" t="e">
        <f t="shared" si="26"/>
        <v>#DIV/0!</v>
      </c>
      <c r="P43" s="48" t="e">
        <f t="shared" si="26"/>
        <v>#DIV/0!</v>
      </c>
      <c r="Q43" s="48" t="e">
        <f t="shared" si="26"/>
        <v>#DIV/0!</v>
      </c>
      <c r="R43" s="118"/>
      <c r="S43" s="138"/>
      <c r="T43" s="166"/>
      <c r="U43" s="40">
        <v>8</v>
      </c>
      <c r="V43" s="118">
        <f t="shared" si="5"/>
        <v>0</v>
      </c>
      <c r="W43" s="137">
        <f t="shared" si="6"/>
        <v>0</v>
      </c>
      <c r="X43" s="137">
        <f t="shared" si="7"/>
        <v>0</v>
      </c>
      <c r="Y43" s="137">
        <f t="shared" si="8"/>
        <v>0</v>
      </c>
      <c r="Z43" s="137">
        <f t="shared" si="9"/>
        <v>0</v>
      </c>
      <c r="AA43" s="137">
        <f t="shared" si="10"/>
        <v>0</v>
      </c>
      <c r="AB43" s="137">
        <f t="shared" si="11"/>
        <v>0</v>
      </c>
      <c r="AC43" s="137">
        <f t="shared" si="12"/>
        <v>0</v>
      </c>
      <c r="AD43" s="137">
        <f t="shared" si="13"/>
        <v>0</v>
      </c>
      <c r="AE43" s="137">
        <f t="shared" si="14"/>
        <v>0</v>
      </c>
      <c r="AF43" s="137">
        <f t="shared" si="15"/>
        <v>0</v>
      </c>
      <c r="AG43" s="137">
        <f t="shared" si="16"/>
        <v>0</v>
      </c>
      <c r="AH43" s="137">
        <f t="shared" si="17"/>
        <v>0</v>
      </c>
      <c r="AI43" s="137">
        <f t="shared" si="18"/>
        <v>0</v>
      </c>
      <c r="AJ43" s="108">
        <f t="shared" si="19"/>
        <v>0</v>
      </c>
    </row>
    <row r="44" spans="2:36" x14ac:dyDescent="0.25">
      <c r="B44" s="166"/>
      <c r="C44" s="136">
        <v>9</v>
      </c>
      <c r="D44" s="47" t="e">
        <f t="shared" ref="D44:Q44" si="27">E20/D20</f>
        <v>#DIV/0!</v>
      </c>
      <c r="E44" s="48" t="e">
        <f t="shared" si="27"/>
        <v>#DIV/0!</v>
      </c>
      <c r="F44" s="48" t="e">
        <f t="shared" si="27"/>
        <v>#DIV/0!</v>
      </c>
      <c r="G44" s="48" t="e">
        <f t="shared" si="27"/>
        <v>#DIV/0!</v>
      </c>
      <c r="H44" s="48" t="e">
        <f t="shared" si="27"/>
        <v>#DIV/0!</v>
      </c>
      <c r="I44" s="48" t="e">
        <f t="shared" si="27"/>
        <v>#DIV/0!</v>
      </c>
      <c r="J44" s="48" t="e">
        <f t="shared" si="27"/>
        <v>#DIV/0!</v>
      </c>
      <c r="K44" s="48" t="e">
        <f t="shared" si="27"/>
        <v>#DIV/0!</v>
      </c>
      <c r="L44" s="48" t="e">
        <f t="shared" si="27"/>
        <v>#DIV/0!</v>
      </c>
      <c r="M44" s="48" t="e">
        <f t="shared" si="27"/>
        <v>#DIV/0!</v>
      </c>
      <c r="N44" s="48" t="e">
        <f t="shared" si="27"/>
        <v>#DIV/0!</v>
      </c>
      <c r="O44" s="48" t="e">
        <f t="shared" si="27"/>
        <v>#DIV/0!</v>
      </c>
      <c r="P44" s="48" t="e">
        <f t="shared" si="27"/>
        <v>#DIV/0!</v>
      </c>
      <c r="Q44" s="48" t="e">
        <f t="shared" si="27"/>
        <v>#DIV/0!</v>
      </c>
      <c r="R44" s="118"/>
      <c r="S44" s="138"/>
      <c r="T44" s="166"/>
      <c r="U44" s="40">
        <v>9</v>
      </c>
      <c r="V44" s="118">
        <f t="shared" si="5"/>
        <v>0</v>
      </c>
      <c r="W44" s="137">
        <f t="shared" si="6"/>
        <v>0</v>
      </c>
      <c r="X44" s="137">
        <f t="shared" si="7"/>
        <v>0</v>
      </c>
      <c r="Y44" s="137">
        <f t="shared" si="8"/>
        <v>0</v>
      </c>
      <c r="Z44" s="137">
        <f t="shared" si="9"/>
        <v>0</v>
      </c>
      <c r="AA44" s="137">
        <f t="shared" si="10"/>
        <v>0</v>
      </c>
      <c r="AB44" s="137">
        <f t="shared" si="11"/>
        <v>0</v>
      </c>
      <c r="AC44" s="137">
        <f t="shared" si="12"/>
        <v>0</v>
      </c>
      <c r="AD44" s="137">
        <f t="shared" si="13"/>
        <v>0</v>
      </c>
      <c r="AE44" s="137">
        <f t="shared" si="14"/>
        <v>0</v>
      </c>
      <c r="AF44" s="137">
        <f t="shared" si="15"/>
        <v>0</v>
      </c>
      <c r="AG44" s="137">
        <f t="shared" si="16"/>
        <v>0</v>
      </c>
      <c r="AH44" s="137">
        <f t="shared" si="17"/>
        <v>0</v>
      </c>
      <c r="AI44" s="137">
        <f t="shared" si="18"/>
        <v>0</v>
      </c>
      <c r="AJ44" s="108">
        <f t="shared" si="19"/>
        <v>0</v>
      </c>
    </row>
    <row r="45" spans="2:36" x14ac:dyDescent="0.25">
      <c r="B45" s="166"/>
      <c r="C45" s="136">
        <v>10</v>
      </c>
      <c r="D45" s="47" t="e">
        <f t="shared" ref="D45:Q45" si="28">E21/D21</f>
        <v>#DIV/0!</v>
      </c>
      <c r="E45" s="48" t="e">
        <f t="shared" si="28"/>
        <v>#DIV/0!</v>
      </c>
      <c r="F45" s="48" t="e">
        <f t="shared" si="28"/>
        <v>#DIV/0!</v>
      </c>
      <c r="G45" s="48" t="e">
        <f t="shared" si="28"/>
        <v>#DIV/0!</v>
      </c>
      <c r="H45" s="48" t="e">
        <f t="shared" si="28"/>
        <v>#DIV/0!</v>
      </c>
      <c r="I45" s="48" t="e">
        <f t="shared" si="28"/>
        <v>#DIV/0!</v>
      </c>
      <c r="J45" s="48" t="e">
        <f t="shared" si="28"/>
        <v>#DIV/0!</v>
      </c>
      <c r="K45" s="48" t="e">
        <f t="shared" si="28"/>
        <v>#DIV/0!</v>
      </c>
      <c r="L45" s="48" t="e">
        <f t="shared" si="28"/>
        <v>#DIV/0!</v>
      </c>
      <c r="M45" s="48" t="e">
        <f t="shared" si="28"/>
        <v>#DIV/0!</v>
      </c>
      <c r="N45" s="48" t="e">
        <f t="shared" si="28"/>
        <v>#DIV/0!</v>
      </c>
      <c r="O45" s="48" t="e">
        <f t="shared" si="28"/>
        <v>#DIV/0!</v>
      </c>
      <c r="P45" s="48" t="e">
        <f t="shared" si="28"/>
        <v>#DIV/0!</v>
      </c>
      <c r="Q45" s="48" t="e">
        <f t="shared" si="28"/>
        <v>#DIV/0!</v>
      </c>
      <c r="R45" s="118"/>
      <c r="S45" s="138"/>
      <c r="T45" s="166"/>
      <c r="U45" s="40">
        <v>10</v>
      </c>
      <c r="V45" s="118">
        <f t="shared" si="5"/>
        <v>0</v>
      </c>
      <c r="W45" s="137">
        <f t="shared" si="6"/>
        <v>0</v>
      </c>
      <c r="X45" s="137">
        <f t="shared" si="7"/>
        <v>0</v>
      </c>
      <c r="Y45" s="137">
        <f t="shared" si="8"/>
        <v>0</v>
      </c>
      <c r="Z45" s="137">
        <f t="shared" si="9"/>
        <v>0</v>
      </c>
      <c r="AA45" s="137">
        <f t="shared" si="10"/>
        <v>0</v>
      </c>
      <c r="AB45" s="137">
        <f t="shared" si="11"/>
        <v>0</v>
      </c>
      <c r="AC45" s="137">
        <f t="shared" si="12"/>
        <v>0</v>
      </c>
      <c r="AD45" s="137">
        <f t="shared" si="13"/>
        <v>0</v>
      </c>
      <c r="AE45" s="137">
        <f t="shared" si="14"/>
        <v>0</v>
      </c>
      <c r="AF45" s="137">
        <f t="shared" si="15"/>
        <v>0</v>
      </c>
      <c r="AG45" s="137">
        <f t="shared" si="16"/>
        <v>0</v>
      </c>
      <c r="AH45" s="137">
        <f t="shared" si="17"/>
        <v>0</v>
      </c>
      <c r="AI45" s="137">
        <f t="shared" si="18"/>
        <v>0</v>
      </c>
      <c r="AJ45" s="108">
        <f t="shared" si="19"/>
        <v>0</v>
      </c>
    </row>
    <row r="46" spans="2:36" x14ac:dyDescent="0.25">
      <c r="B46" s="166"/>
      <c r="C46" s="136">
        <v>11</v>
      </c>
      <c r="D46" s="47" t="e">
        <f t="shared" ref="D46:Q46" si="29">E22/D22</f>
        <v>#DIV/0!</v>
      </c>
      <c r="E46" s="48" t="e">
        <f t="shared" si="29"/>
        <v>#DIV/0!</v>
      </c>
      <c r="F46" s="48" t="e">
        <f t="shared" si="29"/>
        <v>#DIV/0!</v>
      </c>
      <c r="G46" s="48" t="e">
        <f t="shared" si="29"/>
        <v>#DIV/0!</v>
      </c>
      <c r="H46" s="48" t="e">
        <f t="shared" si="29"/>
        <v>#DIV/0!</v>
      </c>
      <c r="I46" s="48" t="e">
        <f t="shared" si="29"/>
        <v>#DIV/0!</v>
      </c>
      <c r="J46" s="48" t="e">
        <f t="shared" si="29"/>
        <v>#DIV/0!</v>
      </c>
      <c r="K46" s="48" t="e">
        <f t="shared" si="29"/>
        <v>#DIV/0!</v>
      </c>
      <c r="L46" s="48" t="e">
        <f t="shared" si="29"/>
        <v>#DIV/0!</v>
      </c>
      <c r="M46" s="48" t="e">
        <f t="shared" si="29"/>
        <v>#DIV/0!</v>
      </c>
      <c r="N46" s="48" t="e">
        <f t="shared" si="29"/>
        <v>#DIV/0!</v>
      </c>
      <c r="O46" s="48" t="e">
        <f t="shared" si="29"/>
        <v>#DIV/0!</v>
      </c>
      <c r="P46" s="48" t="e">
        <f t="shared" si="29"/>
        <v>#DIV/0!</v>
      </c>
      <c r="Q46" s="48" t="e">
        <f t="shared" si="29"/>
        <v>#DIV/0!</v>
      </c>
      <c r="R46" s="118"/>
      <c r="S46" s="138"/>
      <c r="T46" s="166"/>
      <c r="U46" s="40">
        <v>11</v>
      </c>
      <c r="V46" s="118">
        <f t="shared" si="5"/>
        <v>0</v>
      </c>
      <c r="W46" s="137">
        <f t="shared" si="6"/>
        <v>0</v>
      </c>
      <c r="X46" s="137">
        <f t="shared" si="7"/>
        <v>0</v>
      </c>
      <c r="Y46" s="137">
        <f t="shared" si="8"/>
        <v>0</v>
      </c>
      <c r="Z46" s="137">
        <f t="shared" si="9"/>
        <v>0</v>
      </c>
      <c r="AA46" s="137">
        <f t="shared" si="10"/>
        <v>0</v>
      </c>
      <c r="AB46" s="137">
        <f t="shared" si="11"/>
        <v>0</v>
      </c>
      <c r="AC46" s="137">
        <f t="shared" si="12"/>
        <v>0</v>
      </c>
      <c r="AD46" s="137">
        <f t="shared" si="13"/>
        <v>0</v>
      </c>
      <c r="AE46" s="137">
        <f t="shared" si="14"/>
        <v>0</v>
      </c>
      <c r="AF46" s="137">
        <f t="shared" si="15"/>
        <v>0</v>
      </c>
      <c r="AG46" s="137">
        <f t="shared" si="16"/>
        <v>0</v>
      </c>
      <c r="AH46" s="137">
        <f t="shared" si="17"/>
        <v>0</v>
      </c>
      <c r="AI46" s="137">
        <f t="shared" si="18"/>
        <v>0</v>
      </c>
      <c r="AJ46" s="108">
        <f t="shared" si="19"/>
        <v>0</v>
      </c>
    </row>
    <row r="47" spans="2:36" x14ac:dyDescent="0.25">
      <c r="B47" s="166"/>
      <c r="C47" s="136">
        <v>12</v>
      </c>
      <c r="D47" s="47" t="e">
        <f t="shared" ref="D47:Q47" si="30">E23/D23</f>
        <v>#DIV/0!</v>
      </c>
      <c r="E47" s="48" t="e">
        <f t="shared" si="30"/>
        <v>#DIV/0!</v>
      </c>
      <c r="F47" s="48" t="e">
        <f t="shared" si="30"/>
        <v>#DIV/0!</v>
      </c>
      <c r="G47" s="48" t="e">
        <f t="shared" si="30"/>
        <v>#DIV/0!</v>
      </c>
      <c r="H47" s="48" t="e">
        <f t="shared" si="30"/>
        <v>#DIV/0!</v>
      </c>
      <c r="I47" s="48" t="e">
        <f t="shared" si="30"/>
        <v>#DIV/0!</v>
      </c>
      <c r="J47" s="48" t="e">
        <f t="shared" si="30"/>
        <v>#DIV/0!</v>
      </c>
      <c r="K47" s="48" t="e">
        <f t="shared" si="30"/>
        <v>#DIV/0!</v>
      </c>
      <c r="L47" s="48" t="e">
        <f t="shared" si="30"/>
        <v>#DIV/0!</v>
      </c>
      <c r="M47" s="48" t="e">
        <f t="shared" si="30"/>
        <v>#DIV/0!</v>
      </c>
      <c r="N47" s="48" t="e">
        <f t="shared" si="30"/>
        <v>#DIV/0!</v>
      </c>
      <c r="O47" s="48" t="e">
        <f t="shared" si="30"/>
        <v>#DIV/0!</v>
      </c>
      <c r="P47" s="48" t="e">
        <f t="shared" si="30"/>
        <v>#DIV/0!</v>
      </c>
      <c r="Q47" s="48" t="e">
        <f t="shared" si="30"/>
        <v>#DIV/0!</v>
      </c>
      <c r="R47" s="118"/>
      <c r="S47" s="138"/>
      <c r="T47" s="166"/>
      <c r="U47" s="40">
        <v>12</v>
      </c>
      <c r="V47" s="118">
        <f t="shared" si="5"/>
        <v>0</v>
      </c>
      <c r="W47" s="137">
        <f t="shared" si="6"/>
        <v>0</v>
      </c>
      <c r="X47" s="137">
        <f t="shared" si="7"/>
        <v>0</v>
      </c>
      <c r="Y47" s="137">
        <f t="shared" si="8"/>
        <v>0</v>
      </c>
      <c r="Z47" s="137">
        <f t="shared" si="9"/>
        <v>0</v>
      </c>
      <c r="AA47" s="137">
        <f t="shared" si="10"/>
        <v>0</v>
      </c>
      <c r="AB47" s="137">
        <f t="shared" si="11"/>
        <v>0</v>
      </c>
      <c r="AC47" s="137">
        <f t="shared" si="12"/>
        <v>0</v>
      </c>
      <c r="AD47" s="137">
        <f t="shared" si="13"/>
        <v>0</v>
      </c>
      <c r="AE47" s="137">
        <f t="shared" si="14"/>
        <v>0</v>
      </c>
      <c r="AF47" s="137">
        <f t="shared" si="15"/>
        <v>0</v>
      </c>
      <c r="AG47" s="137">
        <f t="shared" si="16"/>
        <v>0</v>
      </c>
      <c r="AH47" s="137">
        <f t="shared" si="17"/>
        <v>0</v>
      </c>
      <c r="AI47" s="137">
        <f t="shared" si="18"/>
        <v>0</v>
      </c>
      <c r="AJ47" s="108">
        <f t="shared" si="19"/>
        <v>0</v>
      </c>
    </row>
    <row r="48" spans="2:36" x14ac:dyDescent="0.25">
      <c r="B48" s="166"/>
      <c r="C48" s="136">
        <v>13</v>
      </c>
      <c r="D48" s="47" t="e">
        <f t="shared" ref="D48:Q48" si="31">E24/D24</f>
        <v>#DIV/0!</v>
      </c>
      <c r="E48" s="48" t="e">
        <f t="shared" si="31"/>
        <v>#DIV/0!</v>
      </c>
      <c r="F48" s="48" t="e">
        <f t="shared" si="31"/>
        <v>#DIV/0!</v>
      </c>
      <c r="G48" s="48" t="e">
        <f t="shared" si="31"/>
        <v>#DIV/0!</v>
      </c>
      <c r="H48" s="48" t="e">
        <f t="shared" si="31"/>
        <v>#DIV/0!</v>
      </c>
      <c r="I48" s="48" t="e">
        <f t="shared" si="31"/>
        <v>#DIV/0!</v>
      </c>
      <c r="J48" s="48" t="e">
        <f t="shared" si="31"/>
        <v>#DIV/0!</v>
      </c>
      <c r="K48" s="48" t="e">
        <f t="shared" si="31"/>
        <v>#DIV/0!</v>
      </c>
      <c r="L48" s="48" t="e">
        <f t="shared" si="31"/>
        <v>#DIV/0!</v>
      </c>
      <c r="M48" s="48" t="e">
        <f t="shared" si="31"/>
        <v>#DIV/0!</v>
      </c>
      <c r="N48" s="48" t="e">
        <f t="shared" si="31"/>
        <v>#DIV/0!</v>
      </c>
      <c r="O48" s="48" t="e">
        <f t="shared" si="31"/>
        <v>#DIV/0!</v>
      </c>
      <c r="P48" s="48" t="e">
        <f t="shared" si="31"/>
        <v>#DIV/0!</v>
      </c>
      <c r="Q48" s="48" t="e">
        <f t="shared" si="31"/>
        <v>#DIV/0!</v>
      </c>
      <c r="R48" s="118"/>
      <c r="S48" s="138"/>
      <c r="T48" s="166"/>
      <c r="U48" s="40">
        <v>13</v>
      </c>
      <c r="V48" s="118">
        <f t="shared" si="5"/>
        <v>0</v>
      </c>
      <c r="W48" s="137">
        <f t="shared" si="6"/>
        <v>0</v>
      </c>
      <c r="X48" s="137">
        <f t="shared" si="7"/>
        <v>0</v>
      </c>
      <c r="Y48" s="137">
        <f t="shared" si="8"/>
        <v>0</v>
      </c>
      <c r="Z48" s="137">
        <f t="shared" si="9"/>
        <v>0</v>
      </c>
      <c r="AA48" s="137">
        <f t="shared" si="10"/>
        <v>0</v>
      </c>
      <c r="AB48" s="137">
        <f t="shared" si="11"/>
        <v>0</v>
      </c>
      <c r="AC48" s="137">
        <f t="shared" si="12"/>
        <v>0</v>
      </c>
      <c r="AD48" s="137">
        <f t="shared" si="13"/>
        <v>0</v>
      </c>
      <c r="AE48" s="137">
        <f t="shared" si="14"/>
        <v>0</v>
      </c>
      <c r="AF48" s="137">
        <f t="shared" si="15"/>
        <v>0</v>
      </c>
      <c r="AG48" s="137">
        <f t="shared" si="16"/>
        <v>0</v>
      </c>
      <c r="AH48" s="137">
        <f t="shared" si="17"/>
        <v>0</v>
      </c>
      <c r="AI48" s="137">
        <f t="shared" si="18"/>
        <v>0</v>
      </c>
      <c r="AJ48" s="108">
        <f t="shared" si="19"/>
        <v>0</v>
      </c>
    </row>
    <row r="49" spans="2:36" x14ac:dyDescent="0.25">
      <c r="B49" s="166"/>
      <c r="C49" s="136">
        <v>14</v>
      </c>
      <c r="D49" s="47" t="e">
        <f t="shared" ref="D49:Q49" si="32">E25/D25</f>
        <v>#DIV/0!</v>
      </c>
      <c r="E49" s="48" t="e">
        <f t="shared" si="32"/>
        <v>#DIV/0!</v>
      </c>
      <c r="F49" s="48" t="e">
        <f t="shared" si="32"/>
        <v>#DIV/0!</v>
      </c>
      <c r="G49" s="48" t="e">
        <f t="shared" si="32"/>
        <v>#DIV/0!</v>
      </c>
      <c r="H49" s="48" t="e">
        <f t="shared" si="32"/>
        <v>#DIV/0!</v>
      </c>
      <c r="I49" s="48" t="e">
        <f t="shared" si="32"/>
        <v>#DIV/0!</v>
      </c>
      <c r="J49" s="48" t="e">
        <f t="shared" si="32"/>
        <v>#DIV/0!</v>
      </c>
      <c r="K49" s="48" t="e">
        <f t="shared" si="32"/>
        <v>#DIV/0!</v>
      </c>
      <c r="L49" s="48" t="e">
        <f t="shared" si="32"/>
        <v>#DIV/0!</v>
      </c>
      <c r="M49" s="48" t="e">
        <f t="shared" si="32"/>
        <v>#DIV/0!</v>
      </c>
      <c r="N49" s="48" t="e">
        <f t="shared" si="32"/>
        <v>#DIV/0!</v>
      </c>
      <c r="O49" s="48" t="e">
        <f t="shared" si="32"/>
        <v>#DIV/0!</v>
      </c>
      <c r="P49" s="48" t="e">
        <f t="shared" si="32"/>
        <v>#DIV/0!</v>
      </c>
      <c r="Q49" s="48" t="e">
        <f t="shared" si="32"/>
        <v>#DIV/0!</v>
      </c>
      <c r="R49" s="118"/>
      <c r="S49" s="138"/>
      <c r="T49" s="166"/>
      <c r="U49" s="40">
        <v>14</v>
      </c>
      <c r="V49" s="118">
        <f t="shared" si="5"/>
        <v>0</v>
      </c>
      <c r="W49" s="137">
        <f t="shared" si="6"/>
        <v>0</v>
      </c>
      <c r="X49" s="137">
        <f t="shared" si="7"/>
        <v>0</v>
      </c>
      <c r="Y49" s="137">
        <f t="shared" si="8"/>
        <v>0</v>
      </c>
      <c r="Z49" s="137">
        <f t="shared" si="9"/>
        <v>0</v>
      </c>
      <c r="AA49" s="137">
        <f t="shared" si="10"/>
        <v>0</v>
      </c>
      <c r="AB49" s="137">
        <f t="shared" si="11"/>
        <v>0</v>
      </c>
      <c r="AC49" s="137">
        <f t="shared" si="12"/>
        <v>0</v>
      </c>
      <c r="AD49" s="137">
        <f t="shared" si="13"/>
        <v>0</v>
      </c>
      <c r="AE49" s="137">
        <f t="shared" si="14"/>
        <v>0</v>
      </c>
      <c r="AF49" s="137">
        <f t="shared" si="15"/>
        <v>0</v>
      </c>
      <c r="AG49" s="137">
        <f t="shared" si="16"/>
        <v>0</v>
      </c>
      <c r="AH49" s="137">
        <f t="shared" si="17"/>
        <v>0</v>
      </c>
      <c r="AI49" s="137">
        <f t="shared" si="18"/>
        <v>0</v>
      </c>
      <c r="AJ49" s="108">
        <f t="shared" si="19"/>
        <v>0</v>
      </c>
    </row>
    <row r="50" spans="2:36" x14ac:dyDescent="0.25">
      <c r="B50" s="166"/>
      <c r="C50" s="136">
        <v>15</v>
      </c>
      <c r="D50" s="47" t="e">
        <f t="shared" ref="D50:Q50" si="33">E26/D26</f>
        <v>#DIV/0!</v>
      </c>
      <c r="E50" s="48" t="e">
        <f t="shared" si="33"/>
        <v>#DIV/0!</v>
      </c>
      <c r="F50" s="48" t="e">
        <f t="shared" si="33"/>
        <v>#DIV/0!</v>
      </c>
      <c r="G50" s="48" t="e">
        <f t="shared" si="33"/>
        <v>#DIV/0!</v>
      </c>
      <c r="H50" s="48" t="e">
        <f t="shared" si="33"/>
        <v>#DIV/0!</v>
      </c>
      <c r="I50" s="48" t="e">
        <f t="shared" si="33"/>
        <v>#DIV/0!</v>
      </c>
      <c r="J50" s="48" t="e">
        <f t="shared" si="33"/>
        <v>#DIV/0!</v>
      </c>
      <c r="K50" s="48" t="e">
        <f t="shared" si="33"/>
        <v>#DIV/0!</v>
      </c>
      <c r="L50" s="48" t="e">
        <f t="shared" si="33"/>
        <v>#DIV/0!</v>
      </c>
      <c r="M50" s="48" t="e">
        <f t="shared" si="33"/>
        <v>#DIV/0!</v>
      </c>
      <c r="N50" s="48" t="e">
        <f t="shared" si="33"/>
        <v>#DIV/0!</v>
      </c>
      <c r="O50" s="48" t="e">
        <f t="shared" si="33"/>
        <v>#DIV/0!</v>
      </c>
      <c r="P50" s="48" t="e">
        <f t="shared" si="33"/>
        <v>#DIV/0!</v>
      </c>
      <c r="Q50" s="48" t="e">
        <f t="shared" si="33"/>
        <v>#DIV/0!</v>
      </c>
      <c r="R50" s="118"/>
      <c r="S50" s="138"/>
      <c r="T50" s="166"/>
      <c r="U50" s="40">
        <v>15</v>
      </c>
      <c r="V50" s="118">
        <f t="shared" si="5"/>
        <v>0</v>
      </c>
      <c r="W50" s="137">
        <f t="shared" si="6"/>
        <v>0</v>
      </c>
      <c r="X50" s="137">
        <f t="shared" si="7"/>
        <v>0</v>
      </c>
      <c r="Y50" s="137">
        <f t="shared" si="8"/>
        <v>0</v>
      </c>
      <c r="Z50" s="137">
        <f t="shared" si="9"/>
        <v>0</v>
      </c>
      <c r="AA50" s="137">
        <f t="shared" si="10"/>
        <v>0</v>
      </c>
      <c r="AB50" s="137">
        <f t="shared" si="11"/>
        <v>0</v>
      </c>
      <c r="AC50" s="137">
        <f t="shared" si="12"/>
        <v>0</v>
      </c>
      <c r="AD50" s="137">
        <f t="shared" si="13"/>
        <v>0</v>
      </c>
      <c r="AE50" s="137">
        <f t="shared" si="14"/>
        <v>0</v>
      </c>
      <c r="AF50" s="137">
        <f t="shared" si="15"/>
        <v>0</v>
      </c>
      <c r="AG50" s="137">
        <f t="shared" si="16"/>
        <v>0</v>
      </c>
      <c r="AH50" s="137">
        <f t="shared" si="17"/>
        <v>0</v>
      </c>
      <c r="AI50" s="137">
        <f t="shared" si="18"/>
        <v>0</v>
      </c>
      <c r="AJ50" s="108">
        <f t="shared" si="19"/>
        <v>0</v>
      </c>
    </row>
    <row r="51" spans="2:36" x14ac:dyDescent="0.25">
      <c r="B51" s="166"/>
      <c r="C51" s="136">
        <v>16</v>
      </c>
      <c r="D51" s="47" t="e">
        <f t="shared" ref="D51:Q51" si="34">E27/D27</f>
        <v>#DIV/0!</v>
      </c>
      <c r="E51" s="48" t="e">
        <f t="shared" si="34"/>
        <v>#DIV/0!</v>
      </c>
      <c r="F51" s="48" t="e">
        <f t="shared" si="34"/>
        <v>#DIV/0!</v>
      </c>
      <c r="G51" s="48" t="e">
        <f t="shared" si="34"/>
        <v>#DIV/0!</v>
      </c>
      <c r="H51" s="48" t="e">
        <f t="shared" si="34"/>
        <v>#DIV/0!</v>
      </c>
      <c r="I51" s="48" t="e">
        <f t="shared" si="34"/>
        <v>#DIV/0!</v>
      </c>
      <c r="J51" s="48" t="e">
        <f t="shared" si="34"/>
        <v>#DIV/0!</v>
      </c>
      <c r="K51" s="48" t="e">
        <f t="shared" si="34"/>
        <v>#DIV/0!</v>
      </c>
      <c r="L51" s="48" t="e">
        <f t="shared" si="34"/>
        <v>#DIV/0!</v>
      </c>
      <c r="M51" s="48" t="e">
        <f t="shared" si="34"/>
        <v>#DIV/0!</v>
      </c>
      <c r="N51" s="48" t="e">
        <f t="shared" si="34"/>
        <v>#DIV/0!</v>
      </c>
      <c r="O51" s="48" t="e">
        <f t="shared" si="34"/>
        <v>#DIV/0!</v>
      </c>
      <c r="P51" s="48" t="e">
        <f t="shared" si="34"/>
        <v>#DIV/0!</v>
      </c>
      <c r="Q51" s="48" t="e">
        <f t="shared" si="34"/>
        <v>#DIV/0!</v>
      </c>
      <c r="R51" s="118"/>
      <c r="S51" s="138"/>
      <c r="T51" s="166"/>
      <c r="U51" s="40">
        <v>16</v>
      </c>
      <c r="V51" s="118">
        <f t="shared" si="5"/>
        <v>0</v>
      </c>
      <c r="W51" s="137">
        <f t="shared" si="6"/>
        <v>0</v>
      </c>
      <c r="X51" s="137">
        <f t="shared" si="7"/>
        <v>0</v>
      </c>
      <c r="Y51" s="137">
        <f t="shared" si="8"/>
        <v>0</v>
      </c>
      <c r="Z51" s="137">
        <f t="shared" si="9"/>
        <v>0</v>
      </c>
      <c r="AA51" s="137">
        <f t="shared" si="10"/>
        <v>0</v>
      </c>
      <c r="AB51" s="137">
        <f t="shared" si="11"/>
        <v>0</v>
      </c>
      <c r="AC51" s="137">
        <f t="shared" si="12"/>
        <v>0</v>
      </c>
      <c r="AD51" s="137">
        <f t="shared" si="13"/>
        <v>0</v>
      </c>
      <c r="AE51" s="137">
        <f t="shared" si="14"/>
        <v>0</v>
      </c>
      <c r="AF51" s="137">
        <f t="shared" si="15"/>
        <v>0</v>
      </c>
      <c r="AG51" s="137">
        <f t="shared" si="16"/>
        <v>0</v>
      </c>
      <c r="AH51" s="137">
        <f t="shared" si="17"/>
        <v>0</v>
      </c>
      <c r="AI51" s="137">
        <f t="shared" si="18"/>
        <v>0</v>
      </c>
      <c r="AJ51" s="108">
        <f t="shared" si="19"/>
        <v>0</v>
      </c>
    </row>
    <row r="52" spans="2:36" x14ac:dyDescent="0.25">
      <c r="B52" s="166"/>
      <c r="C52" s="136">
        <v>17</v>
      </c>
      <c r="D52" s="47" t="e">
        <f t="shared" ref="D52:Q52" si="35">E28/D28</f>
        <v>#DIV/0!</v>
      </c>
      <c r="E52" s="48" t="e">
        <f t="shared" si="35"/>
        <v>#DIV/0!</v>
      </c>
      <c r="F52" s="48" t="e">
        <f t="shared" si="35"/>
        <v>#DIV/0!</v>
      </c>
      <c r="G52" s="48" t="e">
        <f t="shared" si="35"/>
        <v>#DIV/0!</v>
      </c>
      <c r="H52" s="48" t="e">
        <f t="shared" si="35"/>
        <v>#DIV/0!</v>
      </c>
      <c r="I52" s="48" t="e">
        <f t="shared" si="35"/>
        <v>#DIV/0!</v>
      </c>
      <c r="J52" s="48" t="e">
        <f t="shared" si="35"/>
        <v>#DIV/0!</v>
      </c>
      <c r="K52" s="48" t="e">
        <f t="shared" si="35"/>
        <v>#DIV/0!</v>
      </c>
      <c r="L52" s="48" t="e">
        <f t="shared" si="35"/>
        <v>#DIV/0!</v>
      </c>
      <c r="M52" s="48" t="e">
        <f t="shared" si="35"/>
        <v>#DIV/0!</v>
      </c>
      <c r="N52" s="48" t="e">
        <f t="shared" si="35"/>
        <v>#DIV/0!</v>
      </c>
      <c r="O52" s="48" t="e">
        <f t="shared" si="35"/>
        <v>#DIV/0!</v>
      </c>
      <c r="P52" s="48" t="e">
        <f t="shared" si="35"/>
        <v>#DIV/0!</v>
      </c>
      <c r="Q52" s="48" t="e">
        <f t="shared" si="35"/>
        <v>#DIV/0!</v>
      </c>
      <c r="R52" s="118"/>
      <c r="S52" s="138"/>
      <c r="T52" s="166"/>
      <c r="U52" s="40">
        <v>17</v>
      </c>
      <c r="V52" s="118">
        <f t="shared" si="5"/>
        <v>0</v>
      </c>
      <c r="W52" s="137">
        <f t="shared" si="6"/>
        <v>0</v>
      </c>
      <c r="X52" s="137">
        <f t="shared" si="7"/>
        <v>0</v>
      </c>
      <c r="Y52" s="137">
        <f t="shared" si="8"/>
        <v>0</v>
      </c>
      <c r="Z52" s="137">
        <f t="shared" si="9"/>
        <v>0</v>
      </c>
      <c r="AA52" s="137">
        <f t="shared" si="10"/>
        <v>0</v>
      </c>
      <c r="AB52" s="137">
        <f t="shared" si="11"/>
        <v>0</v>
      </c>
      <c r="AC52" s="137">
        <f t="shared" si="12"/>
        <v>0</v>
      </c>
      <c r="AD52" s="137">
        <f t="shared" si="13"/>
        <v>0</v>
      </c>
      <c r="AE52" s="137">
        <f t="shared" si="14"/>
        <v>0</v>
      </c>
      <c r="AF52" s="137">
        <f t="shared" si="15"/>
        <v>0</v>
      </c>
      <c r="AG52" s="137">
        <f t="shared" si="16"/>
        <v>0</v>
      </c>
      <c r="AH52" s="137">
        <f t="shared" si="17"/>
        <v>0</v>
      </c>
      <c r="AI52" s="137">
        <f t="shared" si="18"/>
        <v>0</v>
      </c>
      <c r="AJ52" s="108">
        <f t="shared" si="19"/>
        <v>0</v>
      </c>
    </row>
    <row r="53" spans="2:36" x14ac:dyDescent="0.25">
      <c r="B53" s="166"/>
      <c r="C53" s="136">
        <v>18</v>
      </c>
      <c r="D53" s="47" t="e">
        <f t="shared" ref="D53:Q53" si="36">E29/D29</f>
        <v>#DIV/0!</v>
      </c>
      <c r="E53" s="48" t="e">
        <f t="shared" si="36"/>
        <v>#DIV/0!</v>
      </c>
      <c r="F53" s="48" t="e">
        <f t="shared" si="36"/>
        <v>#DIV/0!</v>
      </c>
      <c r="G53" s="48" t="e">
        <f t="shared" si="36"/>
        <v>#DIV/0!</v>
      </c>
      <c r="H53" s="48" t="e">
        <f t="shared" si="36"/>
        <v>#DIV/0!</v>
      </c>
      <c r="I53" s="48" t="e">
        <f t="shared" si="36"/>
        <v>#DIV/0!</v>
      </c>
      <c r="J53" s="48" t="e">
        <f t="shared" si="36"/>
        <v>#DIV/0!</v>
      </c>
      <c r="K53" s="48" t="e">
        <f t="shared" si="36"/>
        <v>#DIV/0!</v>
      </c>
      <c r="L53" s="48" t="e">
        <f t="shared" si="36"/>
        <v>#DIV/0!</v>
      </c>
      <c r="M53" s="48" t="e">
        <f t="shared" si="36"/>
        <v>#DIV/0!</v>
      </c>
      <c r="N53" s="48" t="e">
        <f t="shared" si="36"/>
        <v>#DIV/0!</v>
      </c>
      <c r="O53" s="48" t="e">
        <f t="shared" si="36"/>
        <v>#DIV/0!</v>
      </c>
      <c r="P53" s="48" t="e">
        <f t="shared" si="36"/>
        <v>#DIV/0!</v>
      </c>
      <c r="Q53" s="48" t="e">
        <f t="shared" si="36"/>
        <v>#DIV/0!</v>
      </c>
      <c r="R53" s="118"/>
      <c r="S53" s="138"/>
      <c r="T53" s="166"/>
      <c r="U53" s="40">
        <v>18</v>
      </c>
      <c r="V53" s="118">
        <f t="shared" si="5"/>
        <v>0</v>
      </c>
      <c r="W53" s="137">
        <f t="shared" si="6"/>
        <v>0</v>
      </c>
      <c r="X53" s="137">
        <f t="shared" si="7"/>
        <v>0</v>
      </c>
      <c r="Y53" s="137">
        <f t="shared" si="8"/>
        <v>0</v>
      </c>
      <c r="Z53" s="137">
        <f t="shared" si="9"/>
        <v>0</v>
      </c>
      <c r="AA53" s="137">
        <f t="shared" si="10"/>
        <v>0</v>
      </c>
      <c r="AB53" s="137">
        <f t="shared" si="11"/>
        <v>0</v>
      </c>
      <c r="AC53" s="137">
        <f t="shared" si="12"/>
        <v>0</v>
      </c>
      <c r="AD53" s="137">
        <f t="shared" si="13"/>
        <v>0</v>
      </c>
      <c r="AE53" s="137">
        <f t="shared" si="14"/>
        <v>0</v>
      </c>
      <c r="AF53" s="137">
        <f t="shared" si="15"/>
        <v>0</v>
      </c>
      <c r="AG53" s="137">
        <f t="shared" si="16"/>
        <v>0</v>
      </c>
      <c r="AH53" s="137">
        <f t="shared" si="17"/>
        <v>0</v>
      </c>
      <c r="AI53" s="137">
        <f t="shared" si="18"/>
        <v>0</v>
      </c>
      <c r="AJ53" s="108">
        <f t="shared" si="19"/>
        <v>0</v>
      </c>
    </row>
    <row r="54" spans="2:36" x14ac:dyDescent="0.25">
      <c r="B54" s="166"/>
      <c r="C54" s="136">
        <v>19</v>
      </c>
      <c r="D54" s="47" t="e">
        <f t="shared" ref="D54:Q54" si="37">E30/D30</f>
        <v>#DIV/0!</v>
      </c>
      <c r="E54" s="48" t="e">
        <f t="shared" si="37"/>
        <v>#DIV/0!</v>
      </c>
      <c r="F54" s="48" t="e">
        <f t="shared" si="37"/>
        <v>#DIV/0!</v>
      </c>
      <c r="G54" s="48" t="e">
        <f t="shared" si="37"/>
        <v>#DIV/0!</v>
      </c>
      <c r="H54" s="48" t="e">
        <f t="shared" si="37"/>
        <v>#DIV/0!</v>
      </c>
      <c r="I54" s="48" t="e">
        <f t="shared" si="37"/>
        <v>#DIV/0!</v>
      </c>
      <c r="J54" s="48" t="e">
        <f t="shared" si="37"/>
        <v>#DIV/0!</v>
      </c>
      <c r="K54" s="48" t="e">
        <f t="shared" si="37"/>
        <v>#DIV/0!</v>
      </c>
      <c r="L54" s="48" t="e">
        <f t="shared" si="37"/>
        <v>#DIV/0!</v>
      </c>
      <c r="M54" s="48" t="e">
        <f t="shared" si="37"/>
        <v>#DIV/0!</v>
      </c>
      <c r="N54" s="48" t="e">
        <f t="shared" si="37"/>
        <v>#DIV/0!</v>
      </c>
      <c r="O54" s="48" t="e">
        <f t="shared" si="37"/>
        <v>#DIV/0!</v>
      </c>
      <c r="P54" s="48" t="e">
        <f t="shared" si="37"/>
        <v>#DIV/0!</v>
      </c>
      <c r="Q54" s="48" t="e">
        <f t="shared" si="37"/>
        <v>#DIV/0!</v>
      </c>
      <c r="R54" s="118"/>
      <c r="S54" s="138"/>
      <c r="T54" s="166"/>
      <c r="U54" s="40">
        <v>19</v>
      </c>
      <c r="V54" s="118">
        <f t="shared" si="5"/>
        <v>0</v>
      </c>
      <c r="W54" s="137">
        <f t="shared" si="6"/>
        <v>0</v>
      </c>
      <c r="X54" s="137">
        <f t="shared" si="7"/>
        <v>0</v>
      </c>
      <c r="Y54" s="137">
        <f t="shared" si="8"/>
        <v>0</v>
      </c>
      <c r="Z54" s="137">
        <f t="shared" si="9"/>
        <v>0</v>
      </c>
      <c r="AA54" s="137">
        <f t="shared" si="10"/>
        <v>0</v>
      </c>
      <c r="AB54" s="137">
        <f t="shared" si="11"/>
        <v>0</v>
      </c>
      <c r="AC54" s="137">
        <f t="shared" si="12"/>
        <v>0</v>
      </c>
      <c r="AD54" s="137">
        <f t="shared" si="13"/>
        <v>0</v>
      </c>
      <c r="AE54" s="137">
        <f t="shared" si="14"/>
        <v>0</v>
      </c>
      <c r="AF54" s="137">
        <f t="shared" si="15"/>
        <v>0</v>
      </c>
      <c r="AG54" s="137">
        <f t="shared" si="16"/>
        <v>0</v>
      </c>
      <c r="AH54" s="137">
        <f t="shared" si="17"/>
        <v>0</v>
      </c>
      <c r="AI54" s="137">
        <f t="shared" si="18"/>
        <v>0</v>
      </c>
      <c r="AJ54" s="108">
        <f t="shared" si="19"/>
        <v>0</v>
      </c>
    </row>
    <row r="55" spans="2:36" x14ac:dyDescent="0.25">
      <c r="B55" s="167"/>
      <c r="C55" s="136">
        <v>20</v>
      </c>
      <c r="D55" s="54" t="e">
        <f t="shared" ref="D55:Q55" si="38">E31/D31</f>
        <v>#DIV/0!</v>
      </c>
      <c r="E55" s="50" t="e">
        <f t="shared" si="38"/>
        <v>#DIV/0!</v>
      </c>
      <c r="F55" s="50" t="e">
        <f t="shared" si="38"/>
        <v>#DIV/0!</v>
      </c>
      <c r="G55" s="50" t="e">
        <f t="shared" si="38"/>
        <v>#DIV/0!</v>
      </c>
      <c r="H55" s="50" t="e">
        <f t="shared" si="38"/>
        <v>#DIV/0!</v>
      </c>
      <c r="I55" s="50" t="e">
        <f t="shared" si="38"/>
        <v>#DIV/0!</v>
      </c>
      <c r="J55" s="50" t="e">
        <f t="shared" si="38"/>
        <v>#DIV/0!</v>
      </c>
      <c r="K55" s="50" t="e">
        <f t="shared" si="38"/>
        <v>#DIV/0!</v>
      </c>
      <c r="L55" s="50" t="e">
        <f t="shared" si="38"/>
        <v>#DIV/0!</v>
      </c>
      <c r="M55" s="50" t="e">
        <f t="shared" si="38"/>
        <v>#DIV/0!</v>
      </c>
      <c r="N55" s="50" t="e">
        <f t="shared" si="38"/>
        <v>#DIV/0!</v>
      </c>
      <c r="O55" s="50" t="e">
        <f t="shared" si="38"/>
        <v>#DIV/0!</v>
      </c>
      <c r="P55" s="50" t="e">
        <f t="shared" si="38"/>
        <v>#DIV/0!</v>
      </c>
      <c r="Q55" s="50" t="e">
        <f t="shared" si="38"/>
        <v>#DIV/0!</v>
      </c>
      <c r="R55" s="118"/>
      <c r="S55" s="138"/>
      <c r="T55" s="167"/>
      <c r="U55" s="40">
        <v>20</v>
      </c>
      <c r="V55" s="113">
        <f t="shared" si="5"/>
        <v>0</v>
      </c>
      <c r="W55" s="107">
        <f t="shared" si="6"/>
        <v>0</v>
      </c>
      <c r="X55" s="107">
        <f t="shared" si="7"/>
        <v>0</v>
      </c>
      <c r="Y55" s="107">
        <f t="shared" si="8"/>
        <v>0</v>
      </c>
      <c r="Z55" s="107">
        <f t="shared" si="9"/>
        <v>0</v>
      </c>
      <c r="AA55" s="107">
        <f t="shared" si="10"/>
        <v>0</v>
      </c>
      <c r="AB55" s="107">
        <f t="shared" si="11"/>
        <v>0</v>
      </c>
      <c r="AC55" s="107">
        <f t="shared" si="12"/>
        <v>0</v>
      </c>
      <c r="AD55" s="107">
        <f t="shared" si="13"/>
        <v>0</v>
      </c>
      <c r="AE55" s="107">
        <f t="shared" si="14"/>
        <v>0</v>
      </c>
      <c r="AF55" s="107">
        <f t="shared" si="15"/>
        <v>0</v>
      </c>
      <c r="AG55" s="107">
        <f t="shared" si="16"/>
        <v>0</v>
      </c>
      <c r="AH55" s="107">
        <f t="shared" si="17"/>
        <v>0</v>
      </c>
      <c r="AI55" s="107">
        <f t="shared" si="18"/>
        <v>0</v>
      </c>
      <c r="AJ55" s="109">
        <f t="shared" si="19"/>
        <v>0</v>
      </c>
    </row>
    <row r="56" spans="2:36" ht="17.25" customHeight="1" x14ac:dyDescent="0.25">
      <c r="B56" s="161" t="s">
        <v>48</v>
      </c>
      <c r="C56" s="161"/>
      <c r="D56" s="129" t="e">
        <f t="shared" ref="D56:Q56" si="39">STDEV(D40:D55)</f>
        <v>#DIV/0!</v>
      </c>
      <c r="E56" s="129" t="e">
        <f t="shared" si="39"/>
        <v>#DIV/0!</v>
      </c>
      <c r="F56" s="129" t="e">
        <f t="shared" si="39"/>
        <v>#DIV/0!</v>
      </c>
      <c r="G56" s="129" t="e">
        <f t="shared" si="39"/>
        <v>#DIV/0!</v>
      </c>
      <c r="H56" s="129" t="e">
        <f t="shared" si="39"/>
        <v>#DIV/0!</v>
      </c>
      <c r="I56" s="129" t="e">
        <f t="shared" si="39"/>
        <v>#DIV/0!</v>
      </c>
      <c r="J56" s="129" t="e">
        <f t="shared" si="39"/>
        <v>#DIV/0!</v>
      </c>
      <c r="K56" s="129" t="e">
        <f t="shared" si="39"/>
        <v>#DIV/0!</v>
      </c>
      <c r="L56" s="129" t="e">
        <f t="shared" si="39"/>
        <v>#DIV/0!</v>
      </c>
      <c r="M56" s="129" t="e">
        <f t="shared" si="39"/>
        <v>#DIV/0!</v>
      </c>
      <c r="N56" s="129" t="e">
        <f t="shared" si="39"/>
        <v>#DIV/0!</v>
      </c>
      <c r="O56" s="129" t="e">
        <f t="shared" si="39"/>
        <v>#DIV/0!</v>
      </c>
      <c r="P56" s="129" t="e">
        <f t="shared" si="39"/>
        <v>#DIV/0!</v>
      </c>
      <c r="Q56" s="129" t="e">
        <f t="shared" si="39"/>
        <v>#DIV/0!</v>
      </c>
      <c r="R56" s="138"/>
      <c r="S56" s="138"/>
    </row>
    <row r="57" spans="2:36" x14ac:dyDescent="0.25">
      <c r="B57" s="138"/>
      <c r="C57" s="138"/>
      <c r="R57" s="138"/>
      <c r="S57" s="138"/>
      <c r="T57" s="171" t="s">
        <v>51</v>
      </c>
      <c r="U57" s="172"/>
      <c r="V57" s="172"/>
      <c r="W57" s="172"/>
      <c r="X57" s="172"/>
      <c r="Y57" s="172"/>
      <c r="Z57" s="172"/>
      <c r="AA57" s="172"/>
      <c r="AB57" s="172"/>
      <c r="AC57" s="172"/>
      <c r="AD57" s="172"/>
      <c r="AE57" s="172"/>
      <c r="AF57" s="172"/>
      <c r="AG57" s="172"/>
      <c r="AH57" s="172"/>
      <c r="AI57" s="172"/>
      <c r="AJ57" s="128"/>
    </row>
    <row r="58" spans="2:36" x14ac:dyDescent="0.25">
      <c r="T58" s="136" t="s">
        <v>1</v>
      </c>
      <c r="U58" s="40" t="s">
        <v>0</v>
      </c>
      <c r="V58" s="127" t="s">
        <v>43</v>
      </c>
      <c r="W58" s="127" t="s">
        <v>44</v>
      </c>
      <c r="X58" s="127" t="s">
        <v>45</v>
      </c>
      <c r="Y58" s="64" t="s">
        <v>42</v>
      </c>
      <c r="Z58" s="134" t="s">
        <v>41</v>
      </c>
      <c r="AA58" s="134" t="s">
        <v>40</v>
      </c>
      <c r="AB58" s="134" t="s">
        <v>39</v>
      </c>
      <c r="AC58" s="134" t="s">
        <v>38</v>
      </c>
      <c r="AD58" s="134" t="s">
        <v>37</v>
      </c>
      <c r="AE58" s="134" t="s">
        <v>36</v>
      </c>
      <c r="AF58" s="134" t="s">
        <v>35</v>
      </c>
      <c r="AG58" s="134" t="s">
        <v>34</v>
      </c>
      <c r="AH58" s="134" t="s">
        <v>33</v>
      </c>
      <c r="AI58" s="119" t="s">
        <v>32</v>
      </c>
      <c r="AJ58" s="70"/>
    </row>
    <row r="59" spans="2:36" x14ac:dyDescent="0.25">
      <c r="T59" s="165" t="s">
        <v>3</v>
      </c>
      <c r="U59" s="63">
        <v>1</v>
      </c>
      <c r="V59" s="44" t="e">
        <f t="shared" ref="V59:AI59" si="40">W12/V12</f>
        <v>#DIV/0!</v>
      </c>
      <c r="W59" s="45" t="e">
        <f t="shared" si="40"/>
        <v>#DIV/0!</v>
      </c>
      <c r="X59" s="45" t="e">
        <f t="shared" si="40"/>
        <v>#DIV/0!</v>
      </c>
      <c r="Y59" s="45" t="e">
        <f t="shared" si="40"/>
        <v>#DIV/0!</v>
      </c>
      <c r="Z59" s="45" t="e">
        <f t="shared" si="40"/>
        <v>#DIV/0!</v>
      </c>
      <c r="AA59" s="45" t="e">
        <f t="shared" si="40"/>
        <v>#DIV/0!</v>
      </c>
      <c r="AB59" s="45" t="e">
        <f t="shared" si="40"/>
        <v>#DIV/0!</v>
      </c>
      <c r="AC59" s="45" t="e">
        <f t="shared" si="40"/>
        <v>#DIV/0!</v>
      </c>
      <c r="AD59" s="45" t="e">
        <f t="shared" si="40"/>
        <v>#DIV/0!</v>
      </c>
      <c r="AE59" s="45" t="e">
        <f t="shared" si="40"/>
        <v>#DIV/0!</v>
      </c>
      <c r="AF59" s="45" t="e">
        <f t="shared" si="40"/>
        <v>#DIV/0!</v>
      </c>
      <c r="AG59" s="45" t="e">
        <f t="shared" si="40"/>
        <v>#DIV/0!</v>
      </c>
      <c r="AH59" s="45" t="e">
        <f t="shared" si="40"/>
        <v>#DIV/0!</v>
      </c>
      <c r="AI59" s="46" t="e">
        <f t="shared" si="40"/>
        <v>#DIV/0!</v>
      </c>
      <c r="AJ59" s="3"/>
    </row>
    <row r="60" spans="2:36" x14ac:dyDescent="0.25">
      <c r="T60" s="166"/>
      <c r="U60" s="40">
        <v>2</v>
      </c>
      <c r="V60" s="47" t="e">
        <f t="shared" ref="V60:AI60" si="41">W13/V13</f>
        <v>#DIV/0!</v>
      </c>
      <c r="W60" s="48" t="e">
        <f t="shared" si="41"/>
        <v>#DIV/0!</v>
      </c>
      <c r="X60" s="48" t="e">
        <f t="shared" si="41"/>
        <v>#DIV/0!</v>
      </c>
      <c r="Y60" s="48" t="e">
        <f t="shared" si="41"/>
        <v>#DIV/0!</v>
      </c>
      <c r="Z60" s="48" t="e">
        <f t="shared" si="41"/>
        <v>#DIV/0!</v>
      </c>
      <c r="AA60" s="48" t="e">
        <f t="shared" si="41"/>
        <v>#DIV/0!</v>
      </c>
      <c r="AB60" s="48" t="e">
        <f t="shared" si="41"/>
        <v>#DIV/0!</v>
      </c>
      <c r="AC60" s="48" t="e">
        <f t="shared" si="41"/>
        <v>#DIV/0!</v>
      </c>
      <c r="AD60" s="48" t="e">
        <f t="shared" si="41"/>
        <v>#DIV/0!</v>
      </c>
      <c r="AE60" s="48" t="e">
        <f t="shared" si="41"/>
        <v>#DIV/0!</v>
      </c>
      <c r="AF60" s="48" t="e">
        <f t="shared" si="41"/>
        <v>#DIV/0!</v>
      </c>
      <c r="AG60" s="48" t="e">
        <f t="shared" si="41"/>
        <v>#DIV/0!</v>
      </c>
      <c r="AH60" s="48" t="e">
        <f t="shared" si="41"/>
        <v>#DIV/0!</v>
      </c>
      <c r="AI60" s="49" t="e">
        <f t="shared" si="41"/>
        <v>#DIV/0!</v>
      </c>
      <c r="AJ60" s="3"/>
    </row>
    <row r="61" spans="2:36" x14ac:dyDescent="0.25">
      <c r="T61" s="166"/>
      <c r="U61" s="40">
        <v>3</v>
      </c>
      <c r="V61" s="47" t="e">
        <f t="shared" ref="V61:AI61" si="42">W14/V14</f>
        <v>#DIV/0!</v>
      </c>
      <c r="W61" s="48" t="e">
        <f t="shared" si="42"/>
        <v>#DIV/0!</v>
      </c>
      <c r="X61" s="48" t="e">
        <f t="shared" si="42"/>
        <v>#DIV/0!</v>
      </c>
      <c r="Y61" s="48" t="e">
        <f t="shared" si="42"/>
        <v>#DIV/0!</v>
      </c>
      <c r="Z61" s="48" t="e">
        <f t="shared" si="42"/>
        <v>#DIV/0!</v>
      </c>
      <c r="AA61" s="48" t="e">
        <f t="shared" si="42"/>
        <v>#DIV/0!</v>
      </c>
      <c r="AB61" s="48" t="e">
        <f t="shared" si="42"/>
        <v>#DIV/0!</v>
      </c>
      <c r="AC61" s="48" t="e">
        <f t="shared" si="42"/>
        <v>#DIV/0!</v>
      </c>
      <c r="AD61" s="48" t="e">
        <f t="shared" si="42"/>
        <v>#DIV/0!</v>
      </c>
      <c r="AE61" s="48" t="e">
        <f t="shared" si="42"/>
        <v>#DIV/0!</v>
      </c>
      <c r="AF61" s="48" t="e">
        <f t="shared" si="42"/>
        <v>#DIV/0!</v>
      </c>
      <c r="AG61" s="48" t="e">
        <f t="shared" si="42"/>
        <v>#DIV/0!</v>
      </c>
      <c r="AH61" s="48" t="e">
        <f t="shared" si="42"/>
        <v>#DIV/0!</v>
      </c>
      <c r="AI61" s="49" t="e">
        <f t="shared" si="42"/>
        <v>#DIV/0!</v>
      </c>
      <c r="AJ61" s="3"/>
    </row>
    <row r="62" spans="2:36" x14ac:dyDescent="0.25">
      <c r="T62" s="167"/>
      <c r="U62" s="40">
        <v>4</v>
      </c>
      <c r="V62" s="47" t="e">
        <f t="shared" ref="V62:AI62" si="43">W15/V15</f>
        <v>#DIV/0!</v>
      </c>
      <c r="W62" s="48" t="e">
        <f t="shared" si="43"/>
        <v>#DIV/0!</v>
      </c>
      <c r="X62" s="48" t="e">
        <f t="shared" si="43"/>
        <v>#DIV/0!</v>
      </c>
      <c r="Y62" s="48" t="e">
        <f t="shared" si="43"/>
        <v>#DIV/0!</v>
      </c>
      <c r="Z62" s="48" t="e">
        <f t="shared" si="43"/>
        <v>#DIV/0!</v>
      </c>
      <c r="AA62" s="48" t="e">
        <f t="shared" si="43"/>
        <v>#DIV/0!</v>
      </c>
      <c r="AB62" s="48" t="e">
        <f t="shared" si="43"/>
        <v>#DIV/0!</v>
      </c>
      <c r="AC62" s="48" t="e">
        <f t="shared" si="43"/>
        <v>#DIV/0!</v>
      </c>
      <c r="AD62" s="48" t="e">
        <f t="shared" si="43"/>
        <v>#DIV/0!</v>
      </c>
      <c r="AE62" s="48" t="e">
        <f t="shared" si="43"/>
        <v>#DIV/0!</v>
      </c>
      <c r="AF62" s="48" t="e">
        <f t="shared" si="43"/>
        <v>#DIV/0!</v>
      </c>
      <c r="AG62" s="48" t="e">
        <f t="shared" si="43"/>
        <v>#DIV/0!</v>
      </c>
      <c r="AH62" s="48" t="e">
        <f t="shared" si="43"/>
        <v>#DIV/0!</v>
      </c>
      <c r="AI62" s="49" t="e">
        <f t="shared" si="43"/>
        <v>#DIV/0!</v>
      </c>
      <c r="AJ62" s="3"/>
    </row>
    <row r="63" spans="2:36" x14ac:dyDescent="0.25">
      <c r="T63" s="165" t="s">
        <v>4</v>
      </c>
      <c r="U63" s="40">
        <v>5</v>
      </c>
      <c r="V63" s="47" t="e">
        <f t="shared" ref="V63:AI63" si="44">W16/V16</f>
        <v>#DIV/0!</v>
      </c>
      <c r="W63" s="48" t="e">
        <f t="shared" si="44"/>
        <v>#DIV/0!</v>
      </c>
      <c r="X63" s="48" t="e">
        <f t="shared" si="44"/>
        <v>#DIV/0!</v>
      </c>
      <c r="Y63" s="48" t="e">
        <f t="shared" si="44"/>
        <v>#DIV/0!</v>
      </c>
      <c r="Z63" s="48" t="e">
        <f t="shared" si="44"/>
        <v>#DIV/0!</v>
      </c>
      <c r="AA63" s="48" t="e">
        <f t="shared" si="44"/>
        <v>#DIV/0!</v>
      </c>
      <c r="AB63" s="48" t="e">
        <f t="shared" si="44"/>
        <v>#DIV/0!</v>
      </c>
      <c r="AC63" s="48" t="e">
        <f t="shared" si="44"/>
        <v>#DIV/0!</v>
      </c>
      <c r="AD63" s="48" t="e">
        <f t="shared" si="44"/>
        <v>#DIV/0!</v>
      </c>
      <c r="AE63" s="48" t="e">
        <f t="shared" si="44"/>
        <v>#DIV/0!</v>
      </c>
      <c r="AF63" s="48" t="e">
        <f t="shared" si="44"/>
        <v>#DIV/0!</v>
      </c>
      <c r="AG63" s="48" t="e">
        <f t="shared" si="44"/>
        <v>#DIV/0!</v>
      </c>
      <c r="AH63" s="48" t="e">
        <f t="shared" si="44"/>
        <v>#DIV/0!</v>
      </c>
      <c r="AI63" s="49" t="e">
        <f t="shared" si="44"/>
        <v>#DIV/0!</v>
      </c>
      <c r="AJ63" s="3"/>
    </row>
    <row r="64" spans="2:36" x14ac:dyDescent="0.25">
      <c r="T64" s="166"/>
      <c r="U64" s="40">
        <v>6</v>
      </c>
      <c r="V64" s="47" t="e">
        <f t="shared" ref="V64:AI64" si="45">W17/V17</f>
        <v>#DIV/0!</v>
      </c>
      <c r="W64" s="48" t="e">
        <f t="shared" si="45"/>
        <v>#DIV/0!</v>
      </c>
      <c r="X64" s="48" t="e">
        <f t="shared" si="45"/>
        <v>#DIV/0!</v>
      </c>
      <c r="Y64" s="48" t="e">
        <f t="shared" si="45"/>
        <v>#DIV/0!</v>
      </c>
      <c r="Z64" s="48" t="e">
        <f t="shared" si="45"/>
        <v>#DIV/0!</v>
      </c>
      <c r="AA64" s="48" t="e">
        <f t="shared" si="45"/>
        <v>#DIV/0!</v>
      </c>
      <c r="AB64" s="48" t="e">
        <f t="shared" si="45"/>
        <v>#DIV/0!</v>
      </c>
      <c r="AC64" s="48" t="e">
        <f t="shared" si="45"/>
        <v>#DIV/0!</v>
      </c>
      <c r="AD64" s="48" t="e">
        <f t="shared" si="45"/>
        <v>#DIV/0!</v>
      </c>
      <c r="AE64" s="48" t="e">
        <f t="shared" si="45"/>
        <v>#DIV/0!</v>
      </c>
      <c r="AF64" s="48" t="e">
        <f t="shared" si="45"/>
        <v>#DIV/0!</v>
      </c>
      <c r="AG64" s="48" t="e">
        <f t="shared" si="45"/>
        <v>#DIV/0!</v>
      </c>
      <c r="AH64" s="48" t="e">
        <f t="shared" si="45"/>
        <v>#DIV/0!</v>
      </c>
      <c r="AI64" s="49" t="e">
        <f t="shared" si="45"/>
        <v>#DIV/0!</v>
      </c>
      <c r="AJ64" s="3"/>
    </row>
    <row r="65" spans="20:54" x14ac:dyDescent="0.25">
      <c r="T65" s="166"/>
      <c r="U65" s="40">
        <v>7</v>
      </c>
      <c r="V65" s="47" t="e">
        <f t="shared" ref="V65:AI65" si="46">W18/V18</f>
        <v>#DIV/0!</v>
      </c>
      <c r="W65" s="48" t="e">
        <f t="shared" si="46"/>
        <v>#DIV/0!</v>
      </c>
      <c r="X65" s="48" t="e">
        <f t="shared" si="46"/>
        <v>#DIV/0!</v>
      </c>
      <c r="Y65" s="48" t="e">
        <f t="shared" si="46"/>
        <v>#DIV/0!</v>
      </c>
      <c r="Z65" s="48" t="e">
        <f t="shared" si="46"/>
        <v>#DIV/0!</v>
      </c>
      <c r="AA65" s="48" t="e">
        <f t="shared" si="46"/>
        <v>#DIV/0!</v>
      </c>
      <c r="AB65" s="48" t="e">
        <f t="shared" si="46"/>
        <v>#DIV/0!</v>
      </c>
      <c r="AC65" s="48" t="e">
        <f t="shared" si="46"/>
        <v>#DIV/0!</v>
      </c>
      <c r="AD65" s="48" t="e">
        <f t="shared" si="46"/>
        <v>#DIV/0!</v>
      </c>
      <c r="AE65" s="48" t="e">
        <f t="shared" si="46"/>
        <v>#DIV/0!</v>
      </c>
      <c r="AF65" s="48" t="e">
        <f t="shared" si="46"/>
        <v>#DIV/0!</v>
      </c>
      <c r="AG65" s="48" t="e">
        <f t="shared" si="46"/>
        <v>#DIV/0!</v>
      </c>
      <c r="AH65" s="48" t="e">
        <f t="shared" si="46"/>
        <v>#DIV/0!</v>
      </c>
      <c r="AI65" s="49" t="e">
        <f t="shared" si="46"/>
        <v>#DIV/0!</v>
      </c>
      <c r="AJ65" s="3"/>
    </row>
    <row r="66" spans="20:54" x14ac:dyDescent="0.25">
      <c r="T66" s="166"/>
      <c r="U66" s="40">
        <v>8</v>
      </c>
      <c r="V66" s="47" t="e">
        <f t="shared" ref="V66:AI66" si="47">W19/V19</f>
        <v>#DIV/0!</v>
      </c>
      <c r="W66" s="48" t="e">
        <f t="shared" si="47"/>
        <v>#DIV/0!</v>
      </c>
      <c r="X66" s="48" t="e">
        <f t="shared" si="47"/>
        <v>#DIV/0!</v>
      </c>
      <c r="Y66" s="48" t="e">
        <f t="shared" si="47"/>
        <v>#DIV/0!</v>
      </c>
      <c r="Z66" s="48" t="e">
        <f t="shared" si="47"/>
        <v>#DIV/0!</v>
      </c>
      <c r="AA66" s="48" t="e">
        <f t="shared" si="47"/>
        <v>#DIV/0!</v>
      </c>
      <c r="AB66" s="48" t="e">
        <f t="shared" si="47"/>
        <v>#DIV/0!</v>
      </c>
      <c r="AC66" s="48" t="e">
        <f t="shared" si="47"/>
        <v>#DIV/0!</v>
      </c>
      <c r="AD66" s="48" t="e">
        <f t="shared" si="47"/>
        <v>#DIV/0!</v>
      </c>
      <c r="AE66" s="48" t="e">
        <f t="shared" si="47"/>
        <v>#DIV/0!</v>
      </c>
      <c r="AF66" s="48" t="e">
        <f t="shared" si="47"/>
        <v>#DIV/0!</v>
      </c>
      <c r="AG66" s="48" t="e">
        <f t="shared" si="47"/>
        <v>#DIV/0!</v>
      </c>
      <c r="AH66" s="48" t="e">
        <f t="shared" si="47"/>
        <v>#DIV/0!</v>
      </c>
      <c r="AI66" s="49" t="e">
        <f t="shared" si="47"/>
        <v>#DIV/0!</v>
      </c>
      <c r="AJ66" s="3"/>
    </row>
    <row r="67" spans="20:54" x14ac:dyDescent="0.25">
      <c r="T67" s="166"/>
      <c r="U67" s="40">
        <v>9</v>
      </c>
      <c r="V67" s="47" t="e">
        <f t="shared" ref="V67:AI67" si="48">W20/V20</f>
        <v>#DIV/0!</v>
      </c>
      <c r="W67" s="48" t="e">
        <f t="shared" si="48"/>
        <v>#DIV/0!</v>
      </c>
      <c r="X67" s="48" t="e">
        <f t="shared" si="48"/>
        <v>#DIV/0!</v>
      </c>
      <c r="Y67" s="48" t="e">
        <f t="shared" si="48"/>
        <v>#DIV/0!</v>
      </c>
      <c r="Z67" s="48" t="e">
        <f t="shared" si="48"/>
        <v>#DIV/0!</v>
      </c>
      <c r="AA67" s="48" t="e">
        <f t="shared" si="48"/>
        <v>#DIV/0!</v>
      </c>
      <c r="AB67" s="48" t="e">
        <f t="shared" si="48"/>
        <v>#DIV/0!</v>
      </c>
      <c r="AC67" s="48" t="e">
        <f t="shared" si="48"/>
        <v>#DIV/0!</v>
      </c>
      <c r="AD67" s="48" t="e">
        <f t="shared" si="48"/>
        <v>#DIV/0!</v>
      </c>
      <c r="AE67" s="48" t="e">
        <f t="shared" si="48"/>
        <v>#DIV/0!</v>
      </c>
      <c r="AF67" s="48" t="e">
        <f t="shared" si="48"/>
        <v>#DIV/0!</v>
      </c>
      <c r="AG67" s="48" t="e">
        <f t="shared" si="48"/>
        <v>#DIV/0!</v>
      </c>
      <c r="AH67" s="48" t="e">
        <f t="shared" si="48"/>
        <v>#DIV/0!</v>
      </c>
      <c r="AI67" s="49" t="e">
        <f t="shared" si="48"/>
        <v>#DIV/0!</v>
      </c>
      <c r="AJ67" s="3"/>
    </row>
    <row r="68" spans="20:54" x14ac:dyDescent="0.25">
      <c r="T68" s="166"/>
      <c r="U68" s="40">
        <v>10</v>
      </c>
      <c r="V68" s="47" t="e">
        <f t="shared" ref="V68:AI68" si="49">W21/V21</f>
        <v>#DIV/0!</v>
      </c>
      <c r="W68" s="48" t="e">
        <f t="shared" si="49"/>
        <v>#DIV/0!</v>
      </c>
      <c r="X68" s="48" t="e">
        <f t="shared" si="49"/>
        <v>#DIV/0!</v>
      </c>
      <c r="Y68" s="48" t="e">
        <f t="shared" si="49"/>
        <v>#DIV/0!</v>
      </c>
      <c r="Z68" s="48" t="e">
        <f t="shared" si="49"/>
        <v>#DIV/0!</v>
      </c>
      <c r="AA68" s="48" t="e">
        <f t="shared" si="49"/>
        <v>#DIV/0!</v>
      </c>
      <c r="AB68" s="48" t="e">
        <f t="shared" si="49"/>
        <v>#DIV/0!</v>
      </c>
      <c r="AC68" s="48" t="e">
        <f t="shared" si="49"/>
        <v>#DIV/0!</v>
      </c>
      <c r="AD68" s="48" t="e">
        <f t="shared" si="49"/>
        <v>#DIV/0!</v>
      </c>
      <c r="AE68" s="48" t="e">
        <f t="shared" si="49"/>
        <v>#DIV/0!</v>
      </c>
      <c r="AF68" s="48" t="e">
        <f t="shared" si="49"/>
        <v>#DIV/0!</v>
      </c>
      <c r="AG68" s="48" t="e">
        <f t="shared" si="49"/>
        <v>#DIV/0!</v>
      </c>
      <c r="AH68" s="48" t="e">
        <f t="shared" si="49"/>
        <v>#DIV/0!</v>
      </c>
      <c r="AI68" s="49" t="e">
        <f t="shared" si="49"/>
        <v>#DIV/0!</v>
      </c>
      <c r="AJ68" s="3"/>
    </row>
    <row r="69" spans="20:54" x14ac:dyDescent="0.25">
      <c r="T69" s="166"/>
      <c r="U69" s="40">
        <v>11</v>
      </c>
      <c r="V69" s="47" t="e">
        <f t="shared" ref="V69:AI69" si="50">W22/V22</f>
        <v>#DIV/0!</v>
      </c>
      <c r="W69" s="48" t="e">
        <f t="shared" si="50"/>
        <v>#DIV/0!</v>
      </c>
      <c r="X69" s="48" t="e">
        <f t="shared" si="50"/>
        <v>#DIV/0!</v>
      </c>
      <c r="Y69" s="48" t="e">
        <f t="shared" si="50"/>
        <v>#DIV/0!</v>
      </c>
      <c r="Z69" s="48" t="e">
        <f t="shared" si="50"/>
        <v>#DIV/0!</v>
      </c>
      <c r="AA69" s="48" t="e">
        <f t="shared" si="50"/>
        <v>#DIV/0!</v>
      </c>
      <c r="AB69" s="48" t="e">
        <f t="shared" si="50"/>
        <v>#DIV/0!</v>
      </c>
      <c r="AC69" s="48" t="e">
        <f t="shared" si="50"/>
        <v>#DIV/0!</v>
      </c>
      <c r="AD69" s="48" t="e">
        <f t="shared" si="50"/>
        <v>#DIV/0!</v>
      </c>
      <c r="AE69" s="48" t="e">
        <f t="shared" si="50"/>
        <v>#DIV/0!</v>
      </c>
      <c r="AF69" s="48" t="e">
        <f t="shared" si="50"/>
        <v>#DIV/0!</v>
      </c>
      <c r="AG69" s="48" t="e">
        <f t="shared" si="50"/>
        <v>#DIV/0!</v>
      </c>
      <c r="AH69" s="48" t="e">
        <f t="shared" si="50"/>
        <v>#DIV/0!</v>
      </c>
      <c r="AI69" s="49" t="e">
        <f t="shared" si="50"/>
        <v>#DIV/0!</v>
      </c>
      <c r="AJ69" s="3"/>
    </row>
    <row r="70" spans="20:54" x14ac:dyDescent="0.25">
      <c r="T70" s="166"/>
      <c r="U70" s="40">
        <v>12</v>
      </c>
      <c r="V70" s="47" t="e">
        <f t="shared" ref="V70:AI70" si="51">W23/V23</f>
        <v>#DIV/0!</v>
      </c>
      <c r="W70" s="48" t="e">
        <f t="shared" si="51"/>
        <v>#DIV/0!</v>
      </c>
      <c r="X70" s="48" t="e">
        <f t="shared" si="51"/>
        <v>#DIV/0!</v>
      </c>
      <c r="Y70" s="48" t="e">
        <f t="shared" si="51"/>
        <v>#DIV/0!</v>
      </c>
      <c r="Z70" s="48" t="e">
        <f t="shared" si="51"/>
        <v>#DIV/0!</v>
      </c>
      <c r="AA70" s="48" t="e">
        <f t="shared" si="51"/>
        <v>#DIV/0!</v>
      </c>
      <c r="AB70" s="48" t="e">
        <f t="shared" si="51"/>
        <v>#DIV/0!</v>
      </c>
      <c r="AC70" s="48" t="e">
        <f t="shared" si="51"/>
        <v>#DIV/0!</v>
      </c>
      <c r="AD70" s="48" t="e">
        <f t="shared" si="51"/>
        <v>#DIV/0!</v>
      </c>
      <c r="AE70" s="48" t="e">
        <f t="shared" si="51"/>
        <v>#DIV/0!</v>
      </c>
      <c r="AF70" s="48" t="e">
        <f t="shared" si="51"/>
        <v>#DIV/0!</v>
      </c>
      <c r="AG70" s="48" t="e">
        <f t="shared" si="51"/>
        <v>#DIV/0!</v>
      </c>
      <c r="AH70" s="48" t="e">
        <f t="shared" si="51"/>
        <v>#DIV/0!</v>
      </c>
      <c r="AI70" s="49" t="e">
        <f t="shared" si="51"/>
        <v>#DIV/0!</v>
      </c>
      <c r="AJ70" s="3"/>
    </row>
    <row r="71" spans="20:54" x14ac:dyDescent="0.25">
      <c r="T71" s="166"/>
      <c r="U71" s="40">
        <v>13</v>
      </c>
      <c r="V71" s="47" t="e">
        <f t="shared" ref="V71:AI71" si="52">W24/V24</f>
        <v>#DIV/0!</v>
      </c>
      <c r="W71" s="48" t="e">
        <f t="shared" si="52"/>
        <v>#DIV/0!</v>
      </c>
      <c r="X71" s="48" t="e">
        <f t="shared" si="52"/>
        <v>#DIV/0!</v>
      </c>
      <c r="Y71" s="48" t="e">
        <f t="shared" si="52"/>
        <v>#DIV/0!</v>
      </c>
      <c r="Z71" s="48" t="e">
        <f t="shared" si="52"/>
        <v>#DIV/0!</v>
      </c>
      <c r="AA71" s="48" t="e">
        <f t="shared" si="52"/>
        <v>#DIV/0!</v>
      </c>
      <c r="AB71" s="48" t="e">
        <f t="shared" si="52"/>
        <v>#DIV/0!</v>
      </c>
      <c r="AC71" s="48" t="e">
        <f t="shared" si="52"/>
        <v>#DIV/0!</v>
      </c>
      <c r="AD71" s="48" t="e">
        <f t="shared" si="52"/>
        <v>#DIV/0!</v>
      </c>
      <c r="AE71" s="48" t="e">
        <f t="shared" si="52"/>
        <v>#DIV/0!</v>
      </c>
      <c r="AF71" s="48" t="e">
        <f t="shared" si="52"/>
        <v>#DIV/0!</v>
      </c>
      <c r="AG71" s="48" t="e">
        <f t="shared" si="52"/>
        <v>#DIV/0!</v>
      </c>
      <c r="AH71" s="48" t="e">
        <f t="shared" si="52"/>
        <v>#DIV/0!</v>
      </c>
      <c r="AI71" s="49" t="e">
        <f t="shared" si="52"/>
        <v>#DIV/0!</v>
      </c>
      <c r="AJ71" s="3"/>
    </row>
    <row r="72" spans="20:54" x14ac:dyDescent="0.25">
      <c r="T72" s="166"/>
      <c r="U72" s="40">
        <v>14</v>
      </c>
      <c r="V72" s="47" t="e">
        <f t="shared" ref="V72:AI72" si="53">W25/V25</f>
        <v>#DIV/0!</v>
      </c>
      <c r="W72" s="48" t="e">
        <f t="shared" si="53"/>
        <v>#DIV/0!</v>
      </c>
      <c r="X72" s="48" t="e">
        <f t="shared" si="53"/>
        <v>#DIV/0!</v>
      </c>
      <c r="Y72" s="48" t="e">
        <f t="shared" si="53"/>
        <v>#DIV/0!</v>
      </c>
      <c r="Z72" s="48" t="e">
        <f t="shared" si="53"/>
        <v>#DIV/0!</v>
      </c>
      <c r="AA72" s="48" t="e">
        <f t="shared" si="53"/>
        <v>#DIV/0!</v>
      </c>
      <c r="AB72" s="48" t="e">
        <f t="shared" si="53"/>
        <v>#DIV/0!</v>
      </c>
      <c r="AC72" s="48" t="e">
        <f t="shared" si="53"/>
        <v>#DIV/0!</v>
      </c>
      <c r="AD72" s="48" t="e">
        <f t="shared" si="53"/>
        <v>#DIV/0!</v>
      </c>
      <c r="AE72" s="48" t="e">
        <f t="shared" si="53"/>
        <v>#DIV/0!</v>
      </c>
      <c r="AF72" s="48" t="e">
        <f t="shared" si="53"/>
        <v>#DIV/0!</v>
      </c>
      <c r="AG72" s="48" t="e">
        <f t="shared" si="53"/>
        <v>#DIV/0!</v>
      </c>
      <c r="AH72" s="48" t="e">
        <f t="shared" si="53"/>
        <v>#DIV/0!</v>
      </c>
      <c r="AI72" s="49" t="e">
        <f t="shared" si="53"/>
        <v>#DIV/0!</v>
      </c>
      <c r="AJ72" s="3"/>
    </row>
    <row r="73" spans="20:54" x14ac:dyDescent="0.25">
      <c r="T73" s="166"/>
      <c r="U73" s="40">
        <v>15</v>
      </c>
      <c r="V73" s="47" t="e">
        <f t="shared" ref="V73:AI73" si="54">W26/V26</f>
        <v>#DIV/0!</v>
      </c>
      <c r="W73" s="48" t="e">
        <f t="shared" si="54"/>
        <v>#DIV/0!</v>
      </c>
      <c r="X73" s="48" t="e">
        <f t="shared" si="54"/>
        <v>#DIV/0!</v>
      </c>
      <c r="Y73" s="48" t="e">
        <f t="shared" si="54"/>
        <v>#DIV/0!</v>
      </c>
      <c r="Z73" s="48" t="e">
        <f t="shared" si="54"/>
        <v>#DIV/0!</v>
      </c>
      <c r="AA73" s="48" t="e">
        <f t="shared" si="54"/>
        <v>#DIV/0!</v>
      </c>
      <c r="AB73" s="48" t="e">
        <f t="shared" si="54"/>
        <v>#DIV/0!</v>
      </c>
      <c r="AC73" s="48" t="e">
        <f t="shared" si="54"/>
        <v>#DIV/0!</v>
      </c>
      <c r="AD73" s="48" t="e">
        <f t="shared" si="54"/>
        <v>#DIV/0!</v>
      </c>
      <c r="AE73" s="48" t="e">
        <f t="shared" si="54"/>
        <v>#DIV/0!</v>
      </c>
      <c r="AF73" s="48" t="e">
        <f t="shared" si="54"/>
        <v>#DIV/0!</v>
      </c>
      <c r="AG73" s="48" t="e">
        <f t="shared" si="54"/>
        <v>#DIV/0!</v>
      </c>
      <c r="AH73" s="48" t="e">
        <f t="shared" si="54"/>
        <v>#DIV/0!</v>
      </c>
      <c r="AI73" s="49" t="e">
        <f t="shared" si="54"/>
        <v>#DIV/0!</v>
      </c>
      <c r="AJ73" s="3"/>
    </row>
    <row r="74" spans="20:54" x14ac:dyDescent="0.25">
      <c r="T74" s="166"/>
      <c r="U74" s="40">
        <v>16</v>
      </c>
      <c r="V74" s="47" t="e">
        <f t="shared" ref="V74:AI74" si="55">W27/V27</f>
        <v>#DIV/0!</v>
      </c>
      <c r="W74" s="48" t="e">
        <f t="shared" si="55"/>
        <v>#DIV/0!</v>
      </c>
      <c r="X74" s="48" t="e">
        <f t="shared" si="55"/>
        <v>#DIV/0!</v>
      </c>
      <c r="Y74" s="48" t="e">
        <f t="shared" si="55"/>
        <v>#DIV/0!</v>
      </c>
      <c r="Z74" s="48" t="e">
        <f t="shared" si="55"/>
        <v>#DIV/0!</v>
      </c>
      <c r="AA74" s="48" t="e">
        <f t="shared" si="55"/>
        <v>#DIV/0!</v>
      </c>
      <c r="AB74" s="48" t="e">
        <f t="shared" si="55"/>
        <v>#DIV/0!</v>
      </c>
      <c r="AC74" s="48" t="e">
        <f t="shared" si="55"/>
        <v>#DIV/0!</v>
      </c>
      <c r="AD74" s="48" t="e">
        <f t="shared" si="55"/>
        <v>#DIV/0!</v>
      </c>
      <c r="AE74" s="48" t="e">
        <f t="shared" si="55"/>
        <v>#DIV/0!</v>
      </c>
      <c r="AF74" s="48" t="e">
        <f t="shared" si="55"/>
        <v>#DIV/0!</v>
      </c>
      <c r="AG74" s="48" t="e">
        <f t="shared" si="55"/>
        <v>#DIV/0!</v>
      </c>
      <c r="AH74" s="48" t="e">
        <f t="shared" si="55"/>
        <v>#DIV/0!</v>
      </c>
      <c r="AI74" s="49" t="e">
        <f t="shared" si="55"/>
        <v>#DIV/0!</v>
      </c>
      <c r="AJ74" s="3"/>
    </row>
    <row r="75" spans="20:54" x14ac:dyDescent="0.25">
      <c r="T75" s="166"/>
      <c r="U75" s="40">
        <v>17</v>
      </c>
      <c r="V75" s="47" t="e">
        <f t="shared" ref="V75:AI75" si="56">W28/V28</f>
        <v>#DIV/0!</v>
      </c>
      <c r="W75" s="48" t="e">
        <f t="shared" si="56"/>
        <v>#DIV/0!</v>
      </c>
      <c r="X75" s="48" t="e">
        <f t="shared" si="56"/>
        <v>#DIV/0!</v>
      </c>
      <c r="Y75" s="48" t="e">
        <f t="shared" si="56"/>
        <v>#DIV/0!</v>
      </c>
      <c r="Z75" s="48" t="e">
        <f t="shared" si="56"/>
        <v>#DIV/0!</v>
      </c>
      <c r="AA75" s="48" t="e">
        <f t="shared" si="56"/>
        <v>#DIV/0!</v>
      </c>
      <c r="AB75" s="48" t="e">
        <f t="shared" si="56"/>
        <v>#DIV/0!</v>
      </c>
      <c r="AC75" s="48" t="e">
        <f t="shared" si="56"/>
        <v>#DIV/0!</v>
      </c>
      <c r="AD75" s="48" t="e">
        <f t="shared" si="56"/>
        <v>#DIV/0!</v>
      </c>
      <c r="AE75" s="48" t="e">
        <f t="shared" si="56"/>
        <v>#DIV/0!</v>
      </c>
      <c r="AF75" s="48" t="e">
        <f t="shared" si="56"/>
        <v>#DIV/0!</v>
      </c>
      <c r="AG75" s="48" t="e">
        <f t="shared" si="56"/>
        <v>#DIV/0!</v>
      </c>
      <c r="AH75" s="48" t="e">
        <f t="shared" si="56"/>
        <v>#DIV/0!</v>
      </c>
      <c r="AI75" s="49" t="e">
        <f t="shared" si="56"/>
        <v>#DIV/0!</v>
      </c>
      <c r="AJ75" s="3"/>
    </row>
    <row r="76" spans="20:54" x14ac:dyDescent="0.25">
      <c r="T76" s="166"/>
      <c r="U76" s="40">
        <v>18</v>
      </c>
      <c r="V76" s="47" t="e">
        <f t="shared" ref="V76:AI76" si="57">W29/V29</f>
        <v>#DIV/0!</v>
      </c>
      <c r="W76" s="48" t="e">
        <f t="shared" si="57"/>
        <v>#DIV/0!</v>
      </c>
      <c r="X76" s="48" t="e">
        <f t="shared" si="57"/>
        <v>#DIV/0!</v>
      </c>
      <c r="Y76" s="48" t="e">
        <f t="shared" si="57"/>
        <v>#DIV/0!</v>
      </c>
      <c r="Z76" s="48" t="e">
        <f t="shared" si="57"/>
        <v>#DIV/0!</v>
      </c>
      <c r="AA76" s="48" t="e">
        <f t="shared" si="57"/>
        <v>#DIV/0!</v>
      </c>
      <c r="AB76" s="48" t="e">
        <f t="shared" si="57"/>
        <v>#DIV/0!</v>
      </c>
      <c r="AC76" s="48" t="e">
        <f t="shared" si="57"/>
        <v>#DIV/0!</v>
      </c>
      <c r="AD76" s="48" t="e">
        <f t="shared" si="57"/>
        <v>#DIV/0!</v>
      </c>
      <c r="AE76" s="48" t="e">
        <f t="shared" si="57"/>
        <v>#DIV/0!</v>
      </c>
      <c r="AF76" s="48" t="e">
        <f t="shared" si="57"/>
        <v>#DIV/0!</v>
      </c>
      <c r="AG76" s="48" t="e">
        <f t="shared" si="57"/>
        <v>#DIV/0!</v>
      </c>
      <c r="AH76" s="48" t="e">
        <f t="shared" si="57"/>
        <v>#DIV/0!</v>
      </c>
      <c r="AI76" s="49" t="e">
        <f t="shared" si="57"/>
        <v>#DIV/0!</v>
      </c>
      <c r="AJ76" s="3"/>
    </row>
    <row r="77" spans="20:54" x14ac:dyDescent="0.25">
      <c r="T77" s="166"/>
      <c r="U77" s="40">
        <v>19</v>
      </c>
      <c r="V77" s="47" t="e">
        <f t="shared" ref="V77:AI77" si="58">W30/V30</f>
        <v>#DIV/0!</v>
      </c>
      <c r="W77" s="48" t="e">
        <f t="shared" si="58"/>
        <v>#DIV/0!</v>
      </c>
      <c r="X77" s="48" t="e">
        <f t="shared" si="58"/>
        <v>#DIV/0!</v>
      </c>
      <c r="Y77" s="48" t="e">
        <f t="shared" si="58"/>
        <v>#DIV/0!</v>
      </c>
      <c r="Z77" s="48" t="e">
        <f t="shared" si="58"/>
        <v>#DIV/0!</v>
      </c>
      <c r="AA77" s="48" t="e">
        <f t="shared" si="58"/>
        <v>#DIV/0!</v>
      </c>
      <c r="AB77" s="48" t="e">
        <f t="shared" si="58"/>
        <v>#DIV/0!</v>
      </c>
      <c r="AC77" s="48" t="e">
        <f t="shared" si="58"/>
        <v>#DIV/0!</v>
      </c>
      <c r="AD77" s="48" t="e">
        <f t="shared" si="58"/>
        <v>#DIV/0!</v>
      </c>
      <c r="AE77" s="48" t="e">
        <f t="shared" si="58"/>
        <v>#DIV/0!</v>
      </c>
      <c r="AF77" s="48" t="e">
        <f t="shared" si="58"/>
        <v>#DIV/0!</v>
      </c>
      <c r="AG77" s="48" t="e">
        <f t="shared" si="58"/>
        <v>#DIV/0!</v>
      </c>
      <c r="AH77" s="48" t="e">
        <f t="shared" si="58"/>
        <v>#DIV/0!</v>
      </c>
      <c r="AI77" s="49" t="e">
        <f t="shared" si="58"/>
        <v>#DIV/0!</v>
      </c>
      <c r="AJ77" s="3"/>
    </row>
    <row r="78" spans="20:54" x14ac:dyDescent="0.25">
      <c r="T78" s="167"/>
      <c r="U78" s="40">
        <v>20</v>
      </c>
      <c r="V78" s="54" t="e">
        <f t="shared" ref="V78:AI78" si="59">W31/V31</f>
        <v>#DIV/0!</v>
      </c>
      <c r="W78" s="50" t="e">
        <f t="shared" si="59"/>
        <v>#DIV/0!</v>
      </c>
      <c r="X78" s="50" t="e">
        <f t="shared" si="59"/>
        <v>#DIV/0!</v>
      </c>
      <c r="Y78" s="50" t="e">
        <f t="shared" si="59"/>
        <v>#DIV/0!</v>
      </c>
      <c r="Z78" s="50" t="e">
        <f t="shared" si="59"/>
        <v>#DIV/0!</v>
      </c>
      <c r="AA78" s="50" t="e">
        <f t="shared" si="59"/>
        <v>#DIV/0!</v>
      </c>
      <c r="AB78" s="50" t="e">
        <f t="shared" si="59"/>
        <v>#DIV/0!</v>
      </c>
      <c r="AC78" s="50" t="e">
        <f t="shared" si="59"/>
        <v>#DIV/0!</v>
      </c>
      <c r="AD78" s="50" t="e">
        <f t="shared" si="59"/>
        <v>#DIV/0!</v>
      </c>
      <c r="AE78" s="50" t="e">
        <f t="shared" si="59"/>
        <v>#DIV/0!</v>
      </c>
      <c r="AF78" s="50" t="e">
        <f t="shared" si="59"/>
        <v>#DIV/0!</v>
      </c>
      <c r="AG78" s="50" t="e">
        <f t="shared" si="59"/>
        <v>#DIV/0!</v>
      </c>
      <c r="AH78" s="50" t="e">
        <f t="shared" si="59"/>
        <v>#DIV/0!</v>
      </c>
      <c r="AI78" s="51" t="e">
        <f t="shared" si="59"/>
        <v>#DIV/0!</v>
      </c>
      <c r="AJ78" s="3"/>
    </row>
    <row r="79" spans="20:54" x14ac:dyDescent="0.25">
      <c r="T79" s="174" t="s">
        <v>48</v>
      </c>
      <c r="U79" s="174"/>
      <c r="V79" s="130" t="e">
        <f t="shared" ref="V79:AI79" si="60">STDEV(V63:V78)</f>
        <v>#DIV/0!</v>
      </c>
      <c r="W79" s="130" t="e">
        <f t="shared" si="60"/>
        <v>#DIV/0!</v>
      </c>
      <c r="X79" s="130" t="e">
        <f t="shared" si="60"/>
        <v>#DIV/0!</v>
      </c>
      <c r="Y79" s="130" t="e">
        <f t="shared" si="60"/>
        <v>#DIV/0!</v>
      </c>
      <c r="Z79" s="130" t="e">
        <f t="shared" si="60"/>
        <v>#DIV/0!</v>
      </c>
      <c r="AA79" s="130" t="e">
        <f t="shared" si="60"/>
        <v>#DIV/0!</v>
      </c>
      <c r="AB79" s="130" t="e">
        <f t="shared" si="60"/>
        <v>#DIV/0!</v>
      </c>
      <c r="AC79" s="130" t="e">
        <f t="shared" si="60"/>
        <v>#DIV/0!</v>
      </c>
      <c r="AD79" s="130" t="e">
        <f t="shared" si="60"/>
        <v>#DIV/0!</v>
      </c>
      <c r="AE79" s="130" t="e">
        <f t="shared" si="60"/>
        <v>#DIV/0!</v>
      </c>
      <c r="AF79" s="130" t="e">
        <f t="shared" si="60"/>
        <v>#DIV/0!</v>
      </c>
      <c r="AG79" s="130" t="e">
        <f t="shared" si="60"/>
        <v>#DIV/0!</v>
      </c>
      <c r="AH79" s="130" t="e">
        <f t="shared" si="60"/>
        <v>#DIV/0!</v>
      </c>
      <c r="AI79" s="130" t="e">
        <f t="shared" si="60"/>
        <v>#DIV/0!</v>
      </c>
      <c r="AJ79" s="138"/>
      <c r="AK79" s="62"/>
    </row>
    <row r="80" spans="20:54" x14ac:dyDescent="0.25">
      <c r="AL80" s="138"/>
      <c r="AM80" s="138"/>
      <c r="BB80" s="62"/>
    </row>
  </sheetData>
  <mergeCells count="55">
    <mergeCell ref="Z5:Z6"/>
    <mergeCell ref="U5:U6"/>
    <mergeCell ref="V5:V6"/>
    <mergeCell ref="W5:W6"/>
    <mergeCell ref="X5:X6"/>
    <mergeCell ref="Y5:Y6"/>
    <mergeCell ref="AG5:AG6"/>
    <mergeCell ref="AH5:AH6"/>
    <mergeCell ref="AI5:AI6"/>
    <mergeCell ref="AJ5:AJ6"/>
    <mergeCell ref="U7:U8"/>
    <mergeCell ref="V7:V8"/>
    <mergeCell ref="W7:W8"/>
    <mergeCell ref="X7:X8"/>
    <mergeCell ref="Y7:Y8"/>
    <mergeCell ref="Z7:Z8"/>
    <mergeCell ref="AA5:AA6"/>
    <mergeCell ref="AB5:AB6"/>
    <mergeCell ref="AC5:AC6"/>
    <mergeCell ref="AD5:AD6"/>
    <mergeCell ref="AE5:AE6"/>
    <mergeCell ref="AF5:AF6"/>
    <mergeCell ref="AG7:AG8"/>
    <mergeCell ref="AH7:AH8"/>
    <mergeCell ref="AI7:AI8"/>
    <mergeCell ref="AJ7:AJ8"/>
    <mergeCell ref="B10:R10"/>
    <mergeCell ref="T10:AJ10"/>
    <mergeCell ref="AA7:AA8"/>
    <mergeCell ref="AB7:AB8"/>
    <mergeCell ref="AC7:AC8"/>
    <mergeCell ref="AD7:AD8"/>
    <mergeCell ref="AE7:AE8"/>
    <mergeCell ref="AF7:AF8"/>
    <mergeCell ref="B2:R8"/>
    <mergeCell ref="T2:AJ2"/>
    <mergeCell ref="T3:T4"/>
    <mergeCell ref="T5:T8"/>
    <mergeCell ref="B12:B15"/>
    <mergeCell ref="T12:T15"/>
    <mergeCell ref="B16:B31"/>
    <mergeCell ref="T16:T31"/>
    <mergeCell ref="B34:Q34"/>
    <mergeCell ref="T34:AJ34"/>
    <mergeCell ref="B32:C32"/>
    <mergeCell ref="T32:U32"/>
    <mergeCell ref="T59:T62"/>
    <mergeCell ref="T63:T78"/>
    <mergeCell ref="T79:U79"/>
    <mergeCell ref="B36:B39"/>
    <mergeCell ref="T36:T39"/>
    <mergeCell ref="B40:B55"/>
    <mergeCell ref="T40:T55"/>
    <mergeCell ref="B56:C56"/>
    <mergeCell ref="T57:AI57"/>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0.AEpreCheck</vt:lpstr>
      <vt:lpstr>1.AEcheck</vt:lpstr>
      <vt:lpstr>2.gammaSimulator</vt:lpstr>
      <vt:lpstr>3.gammaCheck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TrevorEChen(陳恩)</cp:lastModifiedBy>
  <dcterms:created xsi:type="dcterms:W3CDTF">2021-12-10T01:53:35Z</dcterms:created>
  <dcterms:modified xsi:type="dcterms:W3CDTF">2022-10-25T06:26:18Z</dcterms:modified>
</cp:coreProperties>
</file>